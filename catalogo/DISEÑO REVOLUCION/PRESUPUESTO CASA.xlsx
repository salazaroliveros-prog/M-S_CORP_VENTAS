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6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ChO\Documents\DISEÑO RUDY\"/>
    </mc:Choice>
  </mc:AlternateContent>
  <bookViews>
    <workbookView xWindow="12915" yWindow="45" windowWidth="12975" windowHeight="10635" activeTab="1"/>
  </bookViews>
  <sheets>
    <sheet name="MATERIALES " sheetId="2" r:id="rId1"/>
    <sheet name="CU." sheetId="1" r:id="rId2"/>
    <sheet name="MATERIALES" sheetId="4" r:id="rId3"/>
    <sheet name="PRE" sheetId="3" r:id="rId4"/>
  </sheets>
  <definedNames>
    <definedName name="ALAMBRE">'MATERIALES '!$B$29</definedName>
    <definedName name="AMARILLA">'MATERIALES '!$G$11</definedName>
    <definedName name="_xlnm.Print_Area" localSheetId="1">CU.!$A$1:$F$1022</definedName>
    <definedName name="_xlnm.Print_Area" localSheetId="3">PRE!$B$2:$J$55</definedName>
    <definedName name="AYUDANTE">'MATERIALES '!$B$43</definedName>
    <definedName name="BLANCA">'MATERIALES '!$G$12</definedName>
    <definedName name="bloc1450">'MATERIALES '!$G$57</definedName>
    <definedName name="BLOCK1425">'MATERIALES '!$G$45</definedName>
    <definedName name="BLOCK1435">'MATERIALES '!$G$54</definedName>
    <definedName name="BLOCK1925">'MATERIALES '!$G$46</definedName>
    <definedName name="BLOCK1935">'MATERIALES '!$G$55</definedName>
    <definedName name="block1950">'MATERIALES '!$G$58</definedName>
    <definedName name="BLOCK925">'MATERIALES '!$G$44</definedName>
    <definedName name="BLOCK935">'MATERIALES '!$G$53</definedName>
    <definedName name="BLOCKU1425">'MATERIALES '!$G$47</definedName>
    <definedName name="BLOCKU1435">'MATERIALES '!$G$49</definedName>
    <definedName name="BLOCKU1925">'MATERIALES '!$G$48</definedName>
    <definedName name="BLOCKU1935">'MATERIALES '!$G$50</definedName>
    <definedName name="blocU1450">'MATERIALES '!$G$51</definedName>
    <definedName name="blocU1950">'MATERIALES '!$G$52</definedName>
    <definedName name="CAL">'MATERIALES '!$G$13</definedName>
    <definedName name="CEMENTO">'MATERIALES '!$G$8</definedName>
    <definedName name="CLAVO">'MATERIALES '!$B$30</definedName>
    <definedName name="flete1450">'MATERIALES '!$H$57</definedName>
    <definedName name="flete1925">'MATERIALES '!$H$46</definedName>
    <definedName name="flete1950">'MATERIALES '!$H$58</definedName>
    <definedName name="FLETE2C">'MATERIALES '!$C$8</definedName>
    <definedName name="FLETE2P">'MATERIALES '!$D$8</definedName>
    <definedName name="FLETE3C">'MATERIALES '!$C$9</definedName>
    <definedName name="FLETE3P">'MATERIALES '!$D$9</definedName>
    <definedName name="FLETE4C">'MATERIALES '!$C$10</definedName>
    <definedName name="FLETE4P">'MATERIALES '!$D$10</definedName>
    <definedName name="FLETE5C">'MATERIALES '!$C$11</definedName>
    <definedName name="FLETE5P">'MATERIALES '!$D$11</definedName>
    <definedName name="FLETE6C">'MATERIALES '!$C$12</definedName>
    <definedName name="FLETE7C">'MATERIALES '!$C$13</definedName>
    <definedName name="FLETE8C">'MATERIALES '!$C$14</definedName>
    <definedName name="fleteU1450">'MATERIALES '!$H$51</definedName>
    <definedName name="fleteU1950">'MATERIALES '!$H$52</definedName>
    <definedName name="HIERRO1040">'MATERIALES '!$B$16</definedName>
    <definedName name="HIERRO1140">'MATERIALES '!$B$17</definedName>
    <definedName name="HIERRO240">'MATERIALES '!$B$8</definedName>
    <definedName name="HIERRO340">'MATERIALES '!$B$9</definedName>
    <definedName name="HIERRO440">'MATERIALES '!$B$10</definedName>
    <definedName name="HIERRO540">'MATERIALES '!$B$11</definedName>
    <definedName name="HIERRO640">'MATERIALES '!$B$23</definedName>
    <definedName name="HIERRO6400">'MATERIALES '!$B$12</definedName>
    <definedName name="HIERRO660">'MATERIALES '!$B$23</definedName>
    <definedName name="HIERRO740">'MATERIALES '!$B$13</definedName>
    <definedName name="HIERRO840">'MATERIALES '!$B$14</definedName>
    <definedName name="HIERRO940">'MATERIALES '!$B$15</definedName>
    <definedName name="INDIRECTOS">'MATERIALES '!$B$45</definedName>
    <definedName name="MADERA">'MATERIALES '!$G$19</definedName>
    <definedName name="PIEDRIN">'MATERIALES '!$G$10</definedName>
    <definedName name="PRESTACIONES">'MATERIALES '!$B$44</definedName>
    <definedName name="RIO">'MATERIALES '!$G$9</definedName>
    <definedName name="SELECTO">'MATERIALES '!$G$20</definedName>
  </definedNames>
  <calcPr calcId="162913" concurrentCalc="0"/>
</workbook>
</file>

<file path=xl/calcChain.xml><?xml version="1.0" encoding="utf-8"?>
<calcChain xmlns="http://schemas.openxmlformats.org/spreadsheetml/2006/main">
  <c r="D131" i="1" l="1"/>
  <c r="C136" i="1"/>
  <c r="C167" i="1"/>
  <c r="C230" i="1"/>
  <c r="B7" i="4"/>
  <c r="E3" i="4"/>
  <c r="E81" i="1"/>
  <c r="C71" i="1"/>
  <c r="E114" i="1"/>
  <c r="C104" i="1"/>
  <c r="E144" i="1"/>
  <c r="C137" i="1"/>
  <c r="E176" i="1"/>
  <c r="C168" i="1"/>
  <c r="E207" i="1"/>
  <c r="C199" i="1"/>
  <c r="E239" i="1"/>
  <c r="C231" i="1"/>
  <c r="E270" i="1"/>
  <c r="C261" i="1"/>
  <c r="E303" i="1"/>
  <c r="C294" i="1"/>
  <c r="E336" i="1"/>
  <c r="C327" i="1"/>
  <c r="E368" i="1"/>
  <c r="C359" i="1"/>
  <c r="E401" i="1"/>
  <c r="C392" i="1"/>
  <c r="E433" i="1"/>
  <c r="C424" i="1"/>
  <c r="E465" i="1"/>
  <c r="C456" i="1"/>
  <c r="E530" i="1"/>
  <c r="C521" i="1"/>
  <c r="B4" i="4"/>
  <c r="E4" i="4"/>
  <c r="C72" i="1"/>
  <c r="C105" i="1"/>
  <c r="C138" i="1"/>
  <c r="C169" i="1"/>
  <c r="C200" i="1"/>
  <c r="C232" i="1"/>
  <c r="C262" i="1"/>
  <c r="C295" i="1"/>
  <c r="C328" i="1"/>
  <c r="C360" i="1"/>
  <c r="C393" i="1"/>
  <c r="C425" i="1"/>
  <c r="C457" i="1"/>
  <c r="C522" i="1"/>
  <c r="B5" i="4"/>
  <c r="E5" i="4"/>
  <c r="C73" i="1"/>
  <c r="C106" i="1"/>
  <c r="C263" i="1"/>
  <c r="C296" i="1"/>
  <c r="C329" i="1"/>
  <c r="C361" i="1"/>
  <c r="C394" i="1"/>
  <c r="C426" i="1"/>
  <c r="C458" i="1"/>
  <c r="C523" i="1"/>
  <c r="B6" i="4"/>
  <c r="E6" i="4"/>
  <c r="E7" i="4"/>
  <c r="C293" i="1"/>
  <c r="B8" i="4"/>
  <c r="E8" i="4"/>
  <c r="C198" i="1"/>
  <c r="B9" i="4"/>
  <c r="E9" i="4"/>
  <c r="C74" i="1"/>
  <c r="C107" i="1"/>
  <c r="C264" i="1"/>
  <c r="C297" i="1"/>
  <c r="C330" i="1"/>
  <c r="C362" i="1"/>
  <c r="C395" i="1"/>
  <c r="C427" i="1"/>
  <c r="C459" i="1"/>
  <c r="C524" i="1"/>
  <c r="B10" i="4"/>
  <c r="E10" i="4"/>
  <c r="C75" i="1"/>
  <c r="C265" i="1"/>
  <c r="C298" i="1"/>
  <c r="C331" i="1"/>
  <c r="C363" i="1"/>
  <c r="C396" i="1"/>
  <c r="C428" i="1"/>
  <c r="C460" i="1"/>
  <c r="C525" i="1"/>
  <c r="B11" i="4"/>
  <c r="E11" i="4"/>
  <c r="C41" i="1"/>
  <c r="C42" i="1"/>
  <c r="C81" i="1"/>
  <c r="C78" i="1"/>
  <c r="C76" i="1"/>
  <c r="C271" i="1"/>
  <c r="C268" i="1"/>
  <c r="C266" i="1"/>
  <c r="B12" i="4"/>
  <c r="E12" i="4"/>
  <c r="H74" i="1"/>
  <c r="H75" i="1"/>
  <c r="H76" i="1"/>
  <c r="C77" i="1"/>
  <c r="H107" i="1"/>
  <c r="H108" i="1"/>
  <c r="H109" i="1"/>
  <c r="C110" i="1"/>
  <c r="H264" i="1"/>
  <c r="H265" i="1"/>
  <c r="H266" i="1"/>
  <c r="C267" i="1"/>
  <c r="H297" i="1"/>
  <c r="H298" i="1"/>
  <c r="H299" i="1"/>
  <c r="C300" i="1"/>
  <c r="H330" i="1"/>
  <c r="H331" i="1"/>
  <c r="H332" i="1"/>
  <c r="C333" i="1"/>
  <c r="H362" i="1"/>
  <c r="H363" i="1"/>
  <c r="H364" i="1"/>
  <c r="C365" i="1"/>
  <c r="H395" i="1"/>
  <c r="H396" i="1"/>
  <c r="H397" i="1"/>
  <c r="C398" i="1"/>
  <c r="H427" i="1"/>
  <c r="H428" i="1"/>
  <c r="H429" i="1"/>
  <c r="C430" i="1"/>
  <c r="H459" i="1"/>
  <c r="H460" i="1"/>
  <c r="H461" i="1"/>
  <c r="C462" i="1"/>
  <c r="H524" i="1"/>
  <c r="H525" i="1"/>
  <c r="H526" i="1"/>
  <c r="C527" i="1"/>
  <c r="B13" i="4"/>
  <c r="E13" i="4"/>
  <c r="B14" i="4"/>
  <c r="E14" i="4"/>
  <c r="C810" i="1"/>
  <c r="B15" i="4"/>
  <c r="E15" i="4"/>
  <c r="C842" i="1"/>
  <c r="B16" i="4"/>
  <c r="E16" i="4"/>
  <c r="B17" i="4"/>
  <c r="E17" i="4"/>
  <c r="B18" i="4"/>
  <c r="E18" i="4"/>
  <c r="E19" i="4"/>
  <c r="C84" i="1"/>
  <c r="C883" i="1"/>
  <c r="C852" i="1"/>
  <c r="F36" i="1"/>
  <c r="F67" i="1"/>
  <c r="F100" i="1"/>
  <c r="F132" i="1"/>
  <c r="F163" i="1"/>
  <c r="F194" i="1"/>
  <c r="F257" i="1"/>
  <c r="F289" i="1"/>
  <c r="F323" i="1"/>
  <c r="F355" i="1"/>
  <c r="F388" i="1"/>
  <c r="F420" i="1"/>
  <c r="F452" i="1"/>
  <c r="F485" i="1"/>
  <c r="F517" i="1"/>
  <c r="F549" i="1"/>
  <c r="F588" i="1"/>
  <c r="F619" i="1"/>
  <c r="F651" i="1"/>
  <c r="F682" i="1"/>
  <c r="F713" i="1"/>
  <c r="F744" i="1"/>
  <c r="F775" i="1"/>
  <c r="F806" i="1"/>
  <c r="F838" i="1"/>
  <c r="F35" i="1"/>
  <c r="F66" i="1"/>
  <c r="F99" i="1"/>
  <c r="F131" i="1"/>
  <c r="F162" i="1"/>
  <c r="F193" i="1"/>
  <c r="F225" i="1"/>
  <c r="F256" i="1"/>
  <c r="F288" i="1"/>
  <c r="F322" i="1"/>
  <c r="F354" i="1"/>
  <c r="F387" i="1"/>
  <c r="F419" i="1"/>
  <c r="F451" i="1"/>
  <c r="F484" i="1"/>
  <c r="F516" i="1"/>
  <c r="F548" i="1"/>
  <c r="F587" i="1"/>
  <c r="F618" i="1"/>
  <c r="F650" i="1"/>
  <c r="F681" i="1"/>
  <c r="F712" i="1"/>
  <c r="F743" i="1"/>
  <c r="F774" i="1"/>
  <c r="F805" i="1"/>
  <c r="F837" i="1"/>
  <c r="F34" i="1"/>
  <c r="F65" i="1"/>
  <c r="F98" i="1"/>
  <c r="F130" i="1"/>
  <c r="F161" i="1"/>
  <c r="F192" i="1"/>
  <c r="F224" i="1"/>
  <c r="F255" i="1"/>
  <c r="F287" i="1"/>
  <c r="F321" i="1"/>
  <c r="F353" i="1"/>
  <c r="F386" i="1"/>
  <c r="F418" i="1"/>
  <c r="F450" i="1"/>
  <c r="F483" i="1"/>
  <c r="F515" i="1"/>
  <c r="F547" i="1"/>
  <c r="F586" i="1"/>
  <c r="F617" i="1"/>
  <c r="F649" i="1"/>
  <c r="F680" i="1"/>
  <c r="F711" i="1"/>
  <c r="F742" i="1"/>
  <c r="F773" i="1"/>
  <c r="F804" i="1"/>
  <c r="F836" i="1"/>
  <c r="C820" i="1"/>
  <c r="B8" i="3"/>
  <c r="F226" i="1"/>
  <c r="F293" i="1"/>
  <c r="F294" i="1"/>
  <c r="C248" i="1"/>
  <c r="F248" i="1"/>
  <c r="C240" i="1"/>
  <c r="F240" i="1"/>
  <c r="F241" i="1"/>
  <c r="F242" i="1"/>
  <c r="F243" i="1"/>
  <c r="F244" i="1"/>
  <c r="F245" i="1"/>
  <c r="F246" i="1"/>
  <c r="C247" i="1"/>
  <c r="F247" i="1"/>
  <c r="F249" i="1"/>
  <c r="E230" i="1"/>
  <c r="F230" i="1"/>
  <c r="F231" i="1"/>
  <c r="F232" i="1"/>
  <c r="F233" i="1"/>
  <c r="F234" i="1"/>
  <c r="F235" i="1"/>
  <c r="F236" i="1"/>
  <c r="F237" i="1"/>
  <c r="F238" i="1"/>
  <c r="F250" i="1"/>
  <c r="F251" i="1"/>
  <c r="F252" i="1"/>
  <c r="F253" i="1"/>
  <c r="H250" i="1"/>
  <c r="G250" i="1"/>
  <c r="C116" i="1"/>
  <c r="C115" i="1"/>
  <c r="C50" i="1"/>
  <c r="C51" i="1"/>
  <c r="F51" i="1"/>
  <c r="F50" i="1"/>
  <c r="F52" i="1"/>
  <c r="F53" i="1"/>
  <c r="F54" i="1"/>
  <c r="F55" i="1"/>
  <c r="F56" i="1"/>
  <c r="B10" i="2"/>
  <c r="B9" i="2"/>
  <c r="C19" i="1"/>
  <c r="F19" i="1"/>
  <c r="F20" i="1"/>
  <c r="F21" i="1"/>
  <c r="F22" i="1"/>
  <c r="F23" i="1"/>
  <c r="F24" i="1"/>
  <c r="F25" i="1"/>
  <c r="C26" i="1"/>
  <c r="F26" i="1"/>
  <c r="C27" i="1"/>
  <c r="F27" i="1"/>
  <c r="F28" i="1"/>
  <c r="F6" i="3"/>
  <c r="F9" i="1"/>
  <c r="F10" i="1"/>
  <c r="F11" i="1"/>
  <c r="F12" i="1"/>
  <c r="F13" i="1"/>
  <c r="F14" i="1"/>
  <c r="F15" i="1"/>
  <c r="F16" i="1"/>
  <c r="F17" i="1"/>
  <c r="G6" i="3"/>
  <c r="H6" i="3"/>
  <c r="C57" i="1"/>
  <c r="F57" i="1"/>
  <c r="C58" i="1"/>
  <c r="F58" i="1"/>
  <c r="F59" i="1"/>
  <c r="F7" i="3"/>
  <c r="E40" i="1"/>
  <c r="F40" i="1"/>
  <c r="E41" i="1"/>
  <c r="F41" i="1"/>
  <c r="F42" i="1"/>
  <c r="F43" i="1"/>
  <c r="F44" i="1"/>
  <c r="F45" i="1"/>
  <c r="F46" i="1"/>
  <c r="F47" i="1"/>
  <c r="F48" i="1"/>
  <c r="G7" i="3"/>
  <c r="H7" i="3"/>
  <c r="I5" i="3"/>
  <c r="C82" i="1"/>
  <c r="F82" i="1"/>
  <c r="C83" i="1"/>
  <c r="F83" i="1"/>
  <c r="F84" i="1"/>
  <c r="C85" i="1"/>
  <c r="F85" i="1"/>
  <c r="C86" i="1"/>
  <c r="F86" i="1"/>
  <c r="C87" i="1"/>
  <c r="F87" i="1"/>
  <c r="F88" i="1"/>
  <c r="C89" i="1"/>
  <c r="F89" i="1"/>
  <c r="C90" i="1"/>
  <c r="F90" i="1"/>
  <c r="F91" i="1"/>
  <c r="F9" i="3"/>
  <c r="F71" i="1"/>
  <c r="F72" i="1"/>
  <c r="F73" i="1"/>
  <c r="F74" i="1"/>
  <c r="B8" i="2"/>
  <c r="F75" i="1"/>
  <c r="E76" i="1"/>
  <c r="F76" i="1"/>
  <c r="F77" i="1"/>
  <c r="E78" i="1"/>
  <c r="F78" i="1"/>
  <c r="F80" i="1"/>
  <c r="G9" i="3"/>
  <c r="H9" i="3"/>
  <c r="F115" i="1"/>
  <c r="F116" i="1"/>
  <c r="C117" i="1"/>
  <c r="F117" i="1"/>
  <c r="C118" i="1"/>
  <c r="F118" i="1"/>
  <c r="C119" i="1"/>
  <c r="F119" i="1"/>
  <c r="F120" i="1"/>
  <c r="F121" i="1"/>
  <c r="C122" i="1"/>
  <c r="F122" i="1"/>
  <c r="C123" i="1"/>
  <c r="F123" i="1"/>
  <c r="F124" i="1"/>
  <c r="F10" i="3"/>
  <c r="F104" i="1"/>
  <c r="F105" i="1"/>
  <c r="F106" i="1"/>
  <c r="F107" i="1"/>
  <c r="F108" i="1"/>
  <c r="E109" i="1"/>
  <c r="C109" i="1"/>
  <c r="F109" i="1"/>
  <c r="F110" i="1"/>
  <c r="E111" i="1"/>
  <c r="F111" i="1"/>
  <c r="F113" i="1"/>
  <c r="G10" i="3"/>
  <c r="H10" i="3"/>
  <c r="I8" i="3"/>
  <c r="C146" i="1"/>
  <c r="F146" i="1"/>
  <c r="F147" i="1"/>
  <c r="F148" i="1"/>
  <c r="F149" i="1"/>
  <c r="F150" i="1"/>
  <c r="F151" i="1"/>
  <c r="F152" i="1"/>
  <c r="C153" i="1"/>
  <c r="F153" i="1"/>
  <c r="C154" i="1"/>
  <c r="F154" i="1"/>
  <c r="F155" i="1"/>
  <c r="F12" i="3"/>
  <c r="E136" i="1"/>
  <c r="F136" i="1"/>
  <c r="F137" i="1"/>
  <c r="F138" i="1"/>
  <c r="F139" i="1"/>
  <c r="F140" i="1"/>
  <c r="F141" i="1"/>
  <c r="F142" i="1"/>
  <c r="F143" i="1"/>
  <c r="F144" i="1"/>
  <c r="G12" i="3"/>
  <c r="H12" i="3"/>
  <c r="C177" i="1"/>
  <c r="F177" i="1"/>
  <c r="F178" i="1"/>
  <c r="F179" i="1"/>
  <c r="F180" i="1"/>
  <c r="F181" i="1"/>
  <c r="F182" i="1"/>
  <c r="F183" i="1"/>
  <c r="C184" i="1"/>
  <c r="F184" i="1"/>
  <c r="C185" i="1"/>
  <c r="F185" i="1"/>
  <c r="F186" i="1"/>
  <c r="F13" i="3"/>
  <c r="E167" i="1"/>
  <c r="F167" i="1"/>
  <c r="F168" i="1"/>
  <c r="F169" i="1"/>
  <c r="F170" i="1"/>
  <c r="F171" i="1"/>
  <c r="F172" i="1"/>
  <c r="F173" i="1"/>
  <c r="F174" i="1"/>
  <c r="F175" i="1"/>
  <c r="G13" i="3"/>
  <c r="H13" i="3"/>
  <c r="C208" i="1"/>
  <c r="F208" i="1"/>
  <c r="F209" i="1"/>
  <c r="F210" i="1"/>
  <c r="F211" i="1"/>
  <c r="F212" i="1"/>
  <c r="F213" i="1"/>
  <c r="F214" i="1"/>
  <c r="C215" i="1"/>
  <c r="F215" i="1"/>
  <c r="C216" i="1"/>
  <c r="F216" i="1"/>
  <c r="F217" i="1"/>
  <c r="F14" i="3"/>
  <c r="F198" i="1"/>
  <c r="F199" i="1"/>
  <c r="F200" i="1"/>
  <c r="F201" i="1"/>
  <c r="F202" i="1"/>
  <c r="F203" i="1"/>
  <c r="F204" i="1"/>
  <c r="F205" i="1"/>
  <c r="F206" i="1"/>
  <c r="G14" i="3"/>
  <c r="H14" i="3"/>
  <c r="I11" i="3"/>
  <c r="C272" i="1"/>
  <c r="F272" i="1"/>
  <c r="F273" i="1"/>
  <c r="C274" i="1"/>
  <c r="F274" i="1"/>
  <c r="C275" i="1"/>
  <c r="F275" i="1"/>
  <c r="C276" i="1"/>
  <c r="F276" i="1"/>
  <c r="F277" i="1"/>
  <c r="F278" i="1"/>
  <c r="C279" i="1"/>
  <c r="F279" i="1"/>
  <c r="C280" i="1"/>
  <c r="F280" i="1"/>
  <c r="F281" i="1"/>
  <c r="F16" i="3"/>
  <c r="F261" i="1"/>
  <c r="F262" i="1"/>
  <c r="F263" i="1"/>
  <c r="F264" i="1"/>
  <c r="F265" i="1"/>
  <c r="E266" i="1"/>
  <c r="F266" i="1"/>
  <c r="F267" i="1"/>
  <c r="E268" i="1"/>
  <c r="F268" i="1"/>
  <c r="E269" i="1"/>
  <c r="F269" i="1"/>
  <c r="F270" i="1"/>
  <c r="G16" i="3"/>
  <c r="H16" i="3"/>
  <c r="F305" i="1"/>
  <c r="F306" i="1"/>
  <c r="C307" i="1"/>
  <c r="F307" i="1"/>
  <c r="C308" i="1"/>
  <c r="F308" i="1"/>
  <c r="C309" i="1"/>
  <c r="F309" i="1"/>
  <c r="F310" i="1"/>
  <c r="F311" i="1"/>
  <c r="C312" i="1"/>
  <c r="F312" i="1"/>
  <c r="C313" i="1"/>
  <c r="F313" i="1"/>
  <c r="F314" i="1"/>
  <c r="F17" i="3"/>
  <c r="F295" i="1"/>
  <c r="F296" i="1"/>
  <c r="F297" i="1"/>
  <c r="F298" i="1"/>
  <c r="E299" i="1"/>
  <c r="C304" i="1"/>
  <c r="C299" i="1"/>
  <c r="F299" i="1"/>
  <c r="F300" i="1"/>
  <c r="E301" i="1"/>
  <c r="F301" i="1"/>
  <c r="E302" i="1"/>
  <c r="F302" i="1"/>
  <c r="F303" i="1"/>
  <c r="G17" i="3"/>
  <c r="H17" i="3"/>
  <c r="C338" i="1"/>
  <c r="F338" i="1"/>
  <c r="F339" i="1"/>
  <c r="C340" i="1"/>
  <c r="F340" i="1"/>
  <c r="C341" i="1"/>
  <c r="F341" i="1"/>
  <c r="C342" i="1"/>
  <c r="F342" i="1"/>
  <c r="F343" i="1"/>
  <c r="F344" i="1"/>
  <c r="C345" i="1"/>
  <c r="F345" i="1"/>
  <c r="C346" i="1"/>
  <c r="F346" i="1"/>
  <c r="F347" i="1"/>
  <c r="F18" i="3"/>
  <c r="F327" i="1"/>
  <c r="F328" i="1"/>
  <c r="F329" i="1"/>
  <c r="F330" i="1"/>
  <c r="F331" i="1"/>
  <c r="E332" i="1"/>
  <c r="C334" i="1"/>
  <c r="C332" i="1"/>
  <c r="F332" i="1"/>
  <c r="F333" i="1"/>
  <c r="E334" i="1"/>
  <c r="F334" i="1"/>
  <c r="E335" i="1"/>
  <c r="F335" i="1"/>
  <c r="F336" i="1"/>
  <c r="G18" i="3"/>
  <c r="H18" i="3"/>
  <c r="C370" i="1"/>
  <c r="F370" i="1"/>
  <c r="F371" i="1"/>
  <c r="C372" i="1"/>
  <c r="F372" i="1"/>
  <c r="C373" i="1"/>
  <c r="F373" i="1"/>
  <c r="C374" i="1"/>
  <c r="F374" i="1"/>
  <c r="F375" i="1"/>
  <c r="F376" i="1"/>
  <c r="C377" i="1"/>
  <c r="F377" i="1"/>
  <c r="C378" i="1"/>
  <c r="F378" i="1"/>
  <c r="F379" i="1"/>
  <c r="F19" i="3"/>
  <c r="F359" i="1"/>
  <c r="F360" i="1"/>
  <c r="F361" i="1"/>
  <c r="F362" i="1"/>
  <c r="F363" i="1"/>
  <c r="E364" i="1"/>
  <c r="C366" i="1"/>
  <c r="C364" i="1"/>
  <c r="F364" i="1"/>
  <c r="F365" i="1"/>
  <c r="E366" i="1"/>
  <c r="F366" i="1"/>
  <c r="E367" i="1"/>
  <c r="F367" i="1"/>
  <c r="F368" i="1"/>
  <c r="G19" i="3"/>
  <c r="H19" i="3"/>
  <c r="I15" i="3"/>
  <c r="C403" i="1"/>
  <c r="F403" i="1"/>
  <c r="F404" i="1"/>
  <c r="C405" i="1"/>
  <c r="F405" i="1"/>
  <c r="C406" i="1"/>
  <c r="F406" i="1"/>
  <c r="C407" i="1"/>
  <c r="F407" i="1"/>
  <c r="F408" i="1"/>
  <c r="F409" i="1"/>
  <c r="C410" i="1"/>
  <c r="F410" i="1"/>
  <c r="C411" i="1"/>
  <c r="F411" i="1"/>
  <c r="F412" i="1"/>
  <c r="F21" i="3"/>
  <c r="F392" i="1"/>
  <c r="F393" i="1"/>
  <c r="F394" i="1"/>
  <c r="F395" i="1"/>
  <c r="F396" i="1"/>
  <c r="E397" i="1"/>
  <c r="C399" i="1"/>
  <c r="C397" i="1"/>
  <c r="F397" i="1"/>
  <c r="F398" i="1"/>
  <c r="E399" i="1"/>
  <c r="F399" i="1"/>
  <c r="E400" i="1"/>
  <c r="F400" i="1"/>
  <c r="F401" i="1"/>
  <c r="G21" i="3"/>
  <c r="H21" i="3"/>
  <c r="C435" i="1"/>
  <c r="F435" i="1"/>
  <c r="F436" i="1"/>
  <c r="C437" i="1"/>
  <c r="F437" i="1"/>
  <c r="C438" i="1"/>
  <c r="F438" i="1"/>
  <c r="C439" i="1"/>
  <c r="F439" i="1"/>
  <c r="F440" i="1"/>
  <c r="F441" i="1"/>
  <c r="C442" i="1"/>
  <c r="F442" i="1"/>
  <c r="C443" i="1"/>
  <c r="F443" i="1"/>
  <c r="F444" i="1"/>
  <c r="F22" i="3"/>
  <c r="F424" i="1"/>
  <c r="F425" i="1"/>
  <c r="F426" i="1"/>
  <c r="F427" i="1"/>
  <c r="F428" i="1"/>
  <c r="E429" i="1"/>
  <c r="C431" i="1"/>
  <c r="C429" i="1"/>
  <c r="F429" i="1"/>
  <c r="F430" i="1"/>
  <c r="E431" i="1"/>
  <c r="F431" i="1"/>
  <c r="E432" i="1"/>
  <c r="F432" i="1"/>
  <c r="F433" i="1"/>
  <c r="G22" i="3"/>
  <c r="H22" i="3"/>
  <c r="C467" i="1"/>
  <c r="F467" i="1"/>
  <c r="F468" i="1"/>
  <c r="C469" i="1"/>
  <c r="F469" i="1"/>
  <c r="C470" i="1"/>
  <c r="F470" i="1"/>
  <c r="C471" i="1"/>
  <c r="F471" i="1"/>
  <c r="F472" i="1"/>
  <c r="F473" i="1"/>
  <c r="C474" i="1"/>
  <c r="F474" i="1"/>
  <c r="C475" i="1"/>
  <c r="F475" i="1"/>
  <c r="F476" i="1"/>
  <c r="F23" i="3"/>
  <c r="F456" i="1"/>
  <c r="F457" i="1"/>
  <c r="F458" i="1"/>
  <c r="F459" i="1"/>
  <c r="F460" i="1"/>
  <c r="E461" i="1"/>
  <c r="C463" i="1"/>
  <c r="C461" i="1"/>
  <c r="F461" i="1"/>
  <c r="F462" i="1"/>
  <c r="E463" i="1"/>
  <c r="F463" i="1"/>
  <c r="E464" i="1"/>
  <c r="F464" i="1"/>
  <c r="F465" i="1"/>
  <c r="G23" i="3"/>
  <c r="H23" i="3"/>
  <c r="I20" i="3"/>
  <c r="F499" i="1"/>
  <c r="F500" i="1"/>
  <c r="F501" i="1"/>
  <c r="F502" i="1"/>
  <c r="F503" i="1"/>
  <c r="F504" i="1"/>
  <c r="F505" i="1"/>
  <c r="C506" i="1"/>
  <c r="F506" i="1"/>
  <c r="C507" i="1"/>
  <c r="F507" i="1"/>
  <c r="F508" i="1"/>
  <c r="F25" i="3"/>
  <c r="F489" i="1"/>
  <c r="F490" i="1"/>
  <c r="F491" i="1"/>
  <c r="F492" i="1"/>
  <c r="F493" i="1"/>
  <c r="F494" i="1"/>
  <c r="F495" i="1"/>
  <c r="F496" i="1"/>
  <c r="F497" i="1"/>
  <c r="G25" i="3"/>
  <c r="H25" i="3"/>
  <c r="I24" i="3"/>
  <c r="C532" i="1"/>
  <c r="F532" i="1"/>
  <c r="F533" i="1"/>
  <c r="C534" i="1"/>
  <c r="F534" i="1"/>
  <c r="C535" i="1"/>
  <c r="F535" i="1"/>
  <c r="C536" i="1"/>
  <c r="F536" i="1"/>
  <c r="F537" i="1"/>
  <c r="F538" i="1"/>
  <c r="C539" i="1"/>
  <c r="F539" i="1"/>
  <c r="C540" i="1"/>
  <c r="F540" i="1"/>
  <c r="F541" i="1"/>
  <c r="F27" i="3"/>
  <c r="F521" i="1"/>
  <c r="F522" i="1"/>
  <c r="F523" i="1"/>
  <c r="F524" i="1"/>
  <c r="F525" i="1"/>
  <c r="E526" i="1"/>
  <c r="C528" i="1"/>
  <c r="C526" i="1"/>
  <c r="F526" i="1"/>
  <c r="E527" i="1"/>
  <c r="F527" i="1"/>
  <c r="E528" i="1"/>
  <c r="F528" i="1"/>
  <c r="E529" i="1"/>
  <c r="F529" i="1"/>
  <c r="F530" i="1"/>
  <c r="G27" i="3"/>
  <c r="H27" i="3"/>
  <c r="C571" i="1"/>
  <c r="F571" i="1"/>
  <c r="F572" i="1"/>
  <c r="F573" i="1"/>
  <c r="F574" i="1"/>
  <c r="F575" i="1"/>
  <c r="F576" i="1"/>
  <c r="F577" i="1"/>
  <c r="C578" i="1"/>
  <c r="F578" i="1"/>
  <c r="C579" i="1"/>
  <c r="F579" i="1"/>
  <c r="F580" i="1"/>
  <c r="F28" i="3"/>
  <c r="F553" i="1"/>
  <c r="F559" i="1"/>
  <c r="F560" i="1"/>
  <c r="F561" i="1"/>
  <c r="F562" i="1"/>
  <c r="F563" i="1"/>
  <c r="F564" i="1"/>
  <c r="F568" i="1"/>
  <c r="F569" i="1"/>
  <c r="G28" i="3"/>
  <c r="H28" i="3"/>
  <c r="I26" i="3"/>
  <c r="C602" i="1"/>
  <c r="F602" i="1"/>
  <c r="F603" i="1"/>
  <c r="F604" i="1"/>
  <c r="F605" i="1"/>
  <c r="F606" i="1"/>
  <c r="F607" i="1"/>
  <c r="F608" i="1"/>
  <c r="C609" i="1"/>
  <c r="F609" i="1"/>
  <c r="C610" i="1"/>
  <c r="F610" i="1"/>
  <c r="F611" i="1"/>
  <c r="F30" i="3"/>
  <c r="F592" i="1"/>
  <c r="F593" i="1"/>
  <c r="F594" i="1"/>
  <c r="F595" i="1"/>
  <c r="F596" i="1"/>
  <c r="F597" i="1"/>
  <c r="F598" i="1"/>
  <c r="F599" i="1"/>
  <c r="F600" i="1"/>
  <c r="G30" i="3"/>
  <c r="H30" i="3"/>
  <c r="I29" i="3"/>
  <c r="C633" i="1"/>
  <c r="F633" i="1"/>
  <c r="F634" i="1"/>
  <c r="F635" i="1"/>
  <c r="F636" i="1"/>
  <c r="F637" i="1"/>
  <c r="F638" i="1"/>
  <c r="F639" i="1"/>
  <c r="C640" i="1"/>
  <c r="F640" i="1"/>
  <c r="C641" i="1"/>
  <c r="F641" i="1"/>
  <c r="F642" i="1"/>
  <c r="F32" i="3"/>
  <c r="F623" i="1"/>
  <c r="F624" i="1"/>
  <c r="F625" i="1"/>
  <c r="F626" i="1"/>
  <c r="F627" i="1"/>
  <c r="F628" i="1"/>
  <c r="F629" i="1"/>
  <c r="F630" i="1"/>
  <c r="F631" i="1"/>
  <c r="G32" i="3"/>
  <c r="H32" i="3"/>
  <c r="I31" i="3"/>
  <c r="C665" i="1"/>
  <c r="F665" i="1"/>
  <c r="F666" i="1"/>
  <c r="F667" i="1"/>
  <c r="F668" i="1"/>
  <c r="F669" i="1"/>
  <c r="F670" i="1"/>
  <c r="F671" i="1"/>
  <c r="C672" i="1"/>
  <c r="F672" i="1"/>
  <c r="C673" i="1"/>
  <c r="F673" i="1"/>
  <c r="F674" i="1"/>
  <c r="F34" i="3"/>
  <c r="F655" i="1"/>
  <c r="F656" i="1"/>
  <c r="F657" i="1"/>
  <c r="F658" i="1"/>
  <c r="F659" i="1"/>
  <c r="F660" i="1"/>
  <c r="F661" i="1"/>
  <c r="F662" i="1"/>
  <c r="F663" i="1"/>
  <c r="G34" i="3"/>
  <c r="H34" i="3"/>
  <c r="C696" i="1"/>
  <c r="F696" i="1"/>
  <c r="F697" i="1"/>
  <c r="F698" i="1"/>
  <c r="F699" i="1"/>
  <c r="F700" i="1"/>
  <c r="F701" i="1"/>
  <c r="F702" i="1"/>
  <c r="C703" i="1"/>
  <c r="F703" i="1"/>
  <c r="C704" i="1"/>
  <c r="F704" i="1"/>
  <c r="F705" i="1"/>
  <c r="F35" i="3"/>
  <c r="F686" i="1"/>
  <c r="F687" i="1"/>
  <c r="F688" i="1"/>
  <c r="F689" i="1"/>
  <c r="F690" i="1"/>
  <c r="F691" i="1"/>
  <c r="F692" i="1"/>
  <c r="F693" i="1"/>
  <c r="F694" i="1"/>
  <c r="G35" i="3"/>
  <c r="H35" i="3"/>
  <c r="C727" i="1"/>
  <c r="F727" i="1"/>
  <c r="F728" i="1"/>
  <c r="F729" i="1"/>
  <c r="F730" i="1"/>
  <c r="F731" i="1"/>
  <c r="F732" i="1"/>
  <c r="F733" i="1"/>
  <c r="C734" i="1"/>
  <c r="F734" i="1"/>
  <c r="C735" i="1"/>
  <c r="F735" i="1"/>
  <c r="F736" i="1"/>
  <c r="F36" i="3"/>
  <c r="F717" i="1"/>
  <c r="F718" i="1"/>
  <c r="F719" i="1"/>
  <c r="F720" i="1"/>
  <c r="F721" i="1"/>
  <c r="F722" i="1"/>
  <c r="F723" i="1"/>
  <c r="F724" i="1"/>
  <c r="F725" i="1"/>
  <c r="G36" i="3"/>
  <c r="H36" i="3"/>
  <c r="C758" i="1"/>
  <c r="F758" i="1"/>
  <c r="F759" i="1"/>
  <c r="F760" i="1"/>
  <c r="F761" i="1"/>
  <c r="F762" i="1"/>
  <c r="F763" i="1"/>
  <c r="F764" i="1"/>
  <c r="C765" i="1"/>
  <c r="F765" i="1"/>
  <c r="C766" i="1"/>
  <c r="F766" i="1"/>
  <c r="F767" i="1"/>
  <c r="F37" i="3"/>
  <c r="F748" i="1"/>
  <c r="F749" i="1"/>
  <c r="F750" i="1"/>
  <c r="F751" i="1"/>
  <c r="F752" i="1"/>
  <c r="F753" i="1"/>
  <c r="F754" i="1"/>
  <c r="F755" i="1"/>
  <c r="F756" i="1"/>
  <c r="G37" i="3"/>
  <c r="H37" i="3"/>
  <c r="C789" i="1"/>
  <c r="F789" i="1"/>
  <c r="F790" i="1"/>
  <c r="F791" i="1"/>
  <c r="F792" i="1"/>
  <c r="F793" i="1"/>
  <c r="F794" i="1"/>
  <c r="F795" i="1"/>
  <c r="C796" i="1"/>
  <c r="F796" i="1"/>
  <c r="C797" i="1"/>
  <c r="F797" i="1"/>
  <c r="F798" i="1"/>
  <c r="F38" i="3"/>
  <c r="F779" i="1"/>
  <c r="F780" i="1"/>
  <c r="F781" i="1"/>
  <c r="F782" i="1"/>
  <c r="F783" i="1"/>
  <c r="F784" i="1"/>
  <c r="F785" i="1"/>
  <c r="F786" i="1"/>
  <c r="F787" i="1"/>
  <c r="G38" i="3"/>
  <c r="H38" i="3"/>
  <c r="I33" i="3"/>
  <c r="F820" i="1"/>
  <c r="F821" i="1"/>
  <c r="F822" i="1"/>
  <c r="F823" i="1"/>
  <c r="F824" i="1"/>
  <c r="F825" i="1"/>
  <c r="F826" i="1"/>
  <c r="C827" i="1"/>
  <c r="F827" i="1"/>
  <c r="C828" i="1"/>
  <c r="F828" i="1"/>
  <c r="F829" i="1"/>
  <c r="F40" i="3"/>
  <c r="F810" i="1"/>
  <c r="F811" i="1"/>
  <c r="F812" i="1"/>
  <c r="F813" i="1"/>
  <c r="F814" i="1"/>
  <c r="F815" i="1"/>
  <c r="F816" i="1"/>
  <c r="F817" i="1"/>
  <c r="F818" i="1"/>
  <c r="G40" i="3"/>
  <c r="H40" i="3"/>
  <c r="F852" i="1"/>
  <c r="F853" i="1"/>
  <c r="F854" i="1"/>
  <c r="F855" i="1"/>
  <c r="F856" i="1"/>
  <c r="F857" i="1"/>
  <c r="F858" i="1"/>
  <c r="C859" i="1"/>
  <c r="F859" i="1"/>
  <c r="C860" i="1"/>
  <c r="F860" i="1"/>
  <c r="F861" i="1"/>
  <c r="F41" i="3"/>
  <c r="F842" i="1"/>
  <c r="F843" i="1"/>
  <c r="F844" i="1"/>
  <c r="F845" i="1"/>
  <c r="F846" i="1"/>
  <c r="F847" i="1"/>
  <c r="F848" i="1"/>
  <c r="F849" i="1"/>
  <c r="F850" i="1"/>
  <c r="G41" i="3"/>
  <c r="H41" i="3"/>
  <c r="F883" i="1"/>
  <c r="F884" i="1"/>
  <c r="F885" i="1"/>
  <c r="F886" i="1"/>
  <c r="F887" i="1"/>
  <c r="F888" i="1"/>
  <c r="F889" i="1"/>
  <c r="C890" i="1"/>
  <c r="F890" i="1"/>
  <c r="C891" i="1"/>
  <c r="F891" i="1"/>
  <c r="F892" i="1"/>
  <c r="F42" i="3"/>
  <c r="F873" i="1"/>
  <c r="F874" i="1"/>
  <c r="F875" i="1"/>
  <c r="F876" i="1"/>
  <c r="F877" i="1"/>
  <c r="F878" i="1"/>
  <c r="F879" i="1"/>
  <c r="F880" i="1"/>
  <c r="F881" i="1"/>
  <c r="G42" i="3"/>
  <c r="H42" i="3"/>
  <c r="C915" i="1"/>
  <c r="F915" i="1"/>
  <c r="F916" i="1"/>
  <c r="F917" i="1"/>
  <c r="F918" i="1"/>
  <c r="F919" i="1"/>
  <c r="F920" i="1"/>
  <c r="F921" i="1"/>
  <c r="C922" i="1"/>
  <c r="F922" i="1"/>
  <c r="C923" i="1"/>
  <c r="F923" i="1"/>
  <c r="F924" i="1"/>
  <c r="F43" i="3"/>
  <c r="F905" i="1"/>
  <c r="F906" i="1"/>
  <c r="F907" i="1"/>
  <c r="F908" i="1"/>
  <c r="F909" i="1"/>
  <c r="F910" i="1"/>
  <c r="F911" i="1"/>
  <c r="F912" i="1"/>
  <c r="F913" i="1"/>
  <c r="G43" i="3"/>
  <c r="H43" i="3"/>
  <c r="I39" i="3"/>
  <c r="C947" i="1"/>
  <c r="F947" i="1"/>
  <c r="F948" i="1"/>
  <c r="F949" i="1"/>
  <c r="F950" i="1"/>
  <c r="F951" i="1"/>
  <c r="F952" i="1"/>
  <c r="F953" i="1"/>
  <c r="C954" i="1"/>
  <c r="F954" i="1"/>
  <c r="C955" i="1"/>
  <c r="F955" i="1"/>
  <c r="F956" i="1"/>
  <c r="F45" i="3"/>
  <c r="F937" i="1"/>
  <c r="F938" i="1"/>
  <c r="F939" i="1"/>
  <c r="F940" i="1"/>
  <c r="F941" i="1"/>
  <c r="F942" i="1"/>
  <c r="F943" i="1"/>
  <c r="F944" i="1"/>
  <c r="F945" i="1"/>
  <c r="G45" i="3"/>
  <c r="H45" i="3"/>
  <c r="I44" i="3"/>
  <c r="C978" i="1"/>
  <c r="F978" i="1"/>
  <c r="F979" i="1"/>
  <c r="F980" i="1"/>
  <c r="F981" i="1"/>
  <c r="F982" i="1"/>
  <c r="F983" i="1"/>
  <c r="F984" i="1"/>
  <c r="C985" i="1"/>
  <c r="F985" i="1"/>
  <c r="C986" i="1"/>
  <c r="F986" i="1"/>
  <c r="F987" i="1"/>
  <c r="F47" i="3"/>
  <c r="F968" i="1"/>
  <c r="F969" i="1"/>
  <c r="F970" i="1"/>
  <c r="F971" i="1"/>
  <c r="F972" i="1"/>
  <c r="F973" i="1"/>
  <c r="F974" i="1"/>
  <c r="F975" i="1"/>
  <c r="F976" i="1"/>
  <c r="G47" i="3"/>
  <c r="H47" i="3"/>
  <c r="I46" i="3"/>
  <c r="C1009" i="1"/>
  <c r="F1009" i="1"/>
  <c r="F1010" i="1"/>
  <c r="F1011" i="1"/>
  <c r="F1012" i="1"/>
  <c r="F1013" i="1"/>
  <c r="F1014" i="1"/>
  <c r="F1015" i="1"/>
  <c r="C1016" i="1"/>
  <c r="F1016" i="1"/>
  <c r="C1017" i="1"/>
  <c r="F1017" i="1"/>
  <c r="F1018" i="1"/>
  <c r="F49" i="3"/>
  <c r="F999" i="1"/>
  <c r="F1000" i="1"/>
  <c r="F1001" i="1"/>
  <c r="F1002" i="1"/>
  <c r="F1003" i="1"/>
  <c r="F1004" i="1"/>
  <c r="F1005" i="1"/>
  <c r="F1006" i="1"/>
  <c r="F1007" i="1"/>
  <c r="G49" i="3"/>
  <c r="H49" i="3"/>
  <c r="I48" i="3"/>
  <c r="I51" i="3"/>
  <c r="H53" i="3"/>
  <c r="H54" i="3"/>
  <c r="H55" i="3"/>
  <c r="J556" i="1"/>
  <c r="F315" i="1"/>
  <c r="G315" i="1"/>
  <c r="F29" i="1"/>
  <c r="G29" i="1"/>
  <c r="F60" i="1"/>
  <c r="G60" i="1"/>
  <c r="F92" i="1"/>
  <c r="G92" i="1"/>
  <c r="F125" i="1"/>
  <c r="G125" i="1"/>
  <c r="F156" i="1"/>
  <c r="G156" i="1"/>
  <c r="F187" i="1"/>
  <c r="G187" i="1"/>
  <c r="F218" i="1"/>
  <c r="G218" i="1"/>
  <c r="F282" i="1"/>
  <c r="G282" i="1"/>
  <c r="F348" i="1"/>
  <c r="G348" i="1"/>
  <c r="F380" i="1"/>
  <c r="G380" i="1"/>
  <c r="F413" i="1"/>
  <c r="G413" i="1"/>
  <c r="F445" i="1"/>
  <c r="G445" i="1"/>
  <c r="F477" i="1"/>
  <c r="G477" i="1"/>
  <c r="F509" i="1"/>
  <c r="G509" i="1"/>
  <c r="F542" i="1"/>
  <c r="G542" i="1"/>
  <c r="F581" i="1"/>
  <c r="G581" i="1"/>
  <c r="F612" i="1"/>
  <c r="G612" i="1"/>
  <c r="F643" i="1"/>
  <c r="G643" i="1"/>
  <c r="F675" i="1"/>
  <c r="G675" i="1"/>
  <c r="F706" i="1"/>
  <c r="G706" i="1"/>
  <c r="F737" i="1"/>
  <c r="G737" i="1"/>
  <c r="F768" i="1"/>
  <c r="G768" i="1"/>
  <c r="F799" i="1"/>
  <c r="G799" i="1"/>
  <c r="F830" i="1"/>
  <c r="G830" i="1"/>
  <c r="F862" i="1"/>
  <c r="G862" i="1"/>
  <c r="F893" i="1"/>
  <c r="G893" i="1"/>
  <c r="F925" i="1"/>
  <c r="G925" i="1"/>
  <c r="F957" i="1"/>
  <c r="G957" i="1"/>
  <c r="F988" i="1"/>
  <c r="G988" i="1"/>
  <c r="F1019" i="1"/>
  <c r="G1019" i="1"/>
  <c r="G1025" i="1"/>
  <c r="F1020" i="1"/>
  <c r="F1021" i="1"/>
  <c r="F1022" i="1"/>
  <c r="J49" i="3"/>
  <c r="F989" i="1"/>
  <c r="F990" i="1"/>
  <c r="F991" i="1"/>
  <c r="J47" i="3"/>
  <c r="F958" i="1"/>
  <c r="F959" i="1"/>
  <c r="F960" i="1"/>
  <c r="J45" i="3"/>
  <c r="F926" i="1"/>
  <c r="F927" i="1"/>
  <c r="F928" i="1"/>
  <c r="J43" i="3"/>
  <c r="F894" i="1"/>
  <c r="F895" i="1"/>
  <c r="F896" i="1"/>
  <c r="J42" i="3"/>
  <c r="F863" i="1"/>
  <c r="F864" i="1"/>
  <c r="F865" i="1"/>
  <c r="J41" i="3"/>
  <c r="F831" i="1"/>
  <c r="F832" i="1"/>
  <c r="F833" i="1"/>
  <c r="J40" i="3"/>
  <c r="F800" i="1"/>
  <c r="F801" i="1"/>
  <c r="F802" i="1"/>
  <c r="J38" i="3"/>
  <c r="F769" i="1"/>
  <c r="F770" i="1"/>
  <c r="F771" i="1"/>
  <c r="J37" i="3"/>
  <c r="F738" i="1"/>
  <c r="F739" i="1"/>
  <c r="F740" i="1"/>
  <c r="J36" i="3"/>
  <c r="F707" i="1"/>
  <c r="F708" i="1"/>
  <c r="F709" i="1"/>
  <c r="J35" i="3"/>
  <c r="F676" i="1"/>
  <c r="F677" i="1"/>
  <c r="F678" i="1"/>
  <c r="J34" i="3"/>
  <c r="F644" i="1"/>
  <c r="F645" i="1"/>
  <c r="F646" i="1"/>
  <c r="J32" i="3"/>
  <c r="F613" i="1"/>
  <c r="F614" i="1"/>
  <c r="F615" i="1"/>
  <c r="J30" i="3"/>
  <c r="F582" i="1"/>
  <c r="F583" i="1"/>
  <c r="F584" i="1"/>
  <c r="J28" i="3"/>
  <c r="F543" i="1"/>
  <c r="F544" i="1"/>
  <c r="F545" i="1"/>
  <c r="J27" i="3"/>
  <c r="F510" i="1"/>
  <c r="F511" i="1"/>
  <c r="F512" i="1"/>
  <c r="J25" i="3"/>
  <c r="F478" i="1"/>
  <c r="F479" i="1"/>
  <c r="F480" i="1"/>
  <c r="J23" i="3"/>
  <c r="F446" i="1"/>
  <c r="F447" i="1"/>
  <c r="F448" i="1"/>
  <c r="J22" i="3"/>
  <c r="F414" i="1"/>
  <c r="F415" i="1"/>
  <c r="F416" i="1"/>
  <c r="J21" i="3"/>
  <c r="F93" i="1"/>
  <c r="F94" i="1"/>
  <c r="F95" i="1"/>
  <c r="J9" i="3"/>
  <c r="E9" i="3"/>
  <c r="D9" i="3"/>
  <c r="C9" i="3"/>
  <c r="B9" i="3"/>
  <c r="H92" i="1"/>
  <c r="E79" i="1"/>
  <c r="C79" i="1"/>
  <c r="F79" i="1"/>
  <c r="H413" i="1"/>
  <c r="B20" i="3"/>
  <c r="F869" i="1"/>
  <c r="F901" i="1"/>
  <c r="F933" i="1"/>
  <c r="F964" i="1"/>
  <c r="F995" i="1"/>
  <c r="F381" i="1"/>
  <c r="F382" i="1"/>
  <c r="F383" i="1"/>
  <c r="J19" i="3"/>
  <c r="F349" i="1"/>
  <c r="F350" i="1"/>
  <c r="F351" i="1"/>
  <c r="J18" i="3"/>
  <c r="F316" i="1"/>
  <c r="F317" i="1"/>
  <c r="F318" i="1"/>
  <c r="J17" i="3"/>
  <c r="F283" i="1"/>
  <c r="F284" i="1"/>
  <c r="F285" i="1"/>
  <c r="J16" i="3"/>
  <c r="F219" i="1"/>
  <c r="F220" i="1"/>
  <c r="F221" i="1"/>
  <c r="J14" i="3"/>
  <c r="F188" i="1"/>
  <c r="F189" i="1"/>
  <c r="F190" i="1"/>
  <c r="J13" i="3"/>
  <c r="F157" i="1"/>
  <c r="F158" i="1"/>
  <c r="F159" i="1"/>
  <c r="J12" i="3"/>
  <c r="F126" i="1"/>
  <c r="F127" i="1"/>
  <c r="F128" i="1"/>
  <c r="J10" i="3"/>
  <c r="F61" i="1"/>
  <c r="F62" i="1"/>
  <c r="F63" i="1"/>
  <c r="J7" i="3"/>
  <c r="F30" i="1"/>
  <c r="F31" i="1"/>
  <c r="F32" i="1"/>
  <c r="J6" i="3"/>
  <c r="J553" i="1"/>
  <c r="I553" i="1"/>
  <c r="H553" i="1"/>
  <c r="E497" i="1"/>
  <c r="G1027" i="1"/>
  <c r="E14" i="3"/>
  <c r="D14" i="3"/>
  <c r="C14" i="3"/>
  <c r="B14" i="3"/>
  <c r="H218" i="1"/>
  <c r="C49" i="1"/>
  <c r="E112" i="1"/>
  <c r="C112" i="1"/>
  <c r="F112" i="1"/>
  <c r="E40" i="3"/>
  <c r="D40" i="3"/>
  <c r="C40" i="3"/>
  <c r="B40" i="3"/>
  <c r="H830" i="1"/>
  <c r="F51" i="3"/>
  <c r="G51" i="3"/>
  <c r="E49" i="3"/>
  <c r="D49" i="3"/>
  <c r="C49" i="3"/>
  <c r="E47" i="3"/>
  <c r="C47" i="3"/>
  <c r="E45" i="3"/>
  <c r="D45" i="3"/>
  <c r="C45" i="3"/>
  <c r="E43" i="3"/>
  <c r="D43" i="3"/>
  <c r="C43" i="3"/>
  <c r="B43" i="3"/>
  <c r="E42" i="3"/>
  <c r="D42" i="3"/>
  <c r="C42" i="3"/>
  <c r="B42" i="3"/>
  <c r="E41" i="3"/>
  <c r="D41" i="3"/>
  <c r="C41" i="3"/>
  <c r="B41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B33" i="3"/>
  <c r="E32" i="3"/>
  <c r="D32" i="3"/>
  <c r="C32" i="3"/>
  <c r="B32" i="3"/>
  <c r="B31" i="3"/>
  <c r="E30" i="3"/>
  <c r="D30" i="3"/>
  <c r="C30" i="3"/>
  <c r="B30" i="3"/>
  <c r="B29" i="3"/>
  <c r="E28" i="3"/>
  <c r="D28" i="3"/>
  <c r="C28" i="3"/>
  <c r="B28" i="3"/>
  <c r="E27" i="3"/>
  <c r="D27" i="3"/>
  <c r="C27" i="3"/>
  <c r="B27" i="3"/>
  <c r="B26" i="3"/>
  <c r="E25" i="3"/>
  <c r="D25" i="3"/>
  <c r="C25" i="3"/>
  <c r="B25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B15" i="3"/>
  <c r="E13" i="3"/>
  <c r="D13" i="3"/>
  <c r="C13" i="3"/>
  <c r="B13" i="3"/>
  <c r="E12" i="3"/>
  <c r="D12" i="3"/>
  <c r="C12" i="3"/>
  <c r="B12" i="3"/>
  <c r="B11" i="3"/>
  <c r="E10" i="3"/>
  <c r="D10" i="3"/>
  <c r="C10" i="3"/>
  <c r="B10" i="3"/>
  <c r="B34" i="1"/>
  <c r="B7" i="3"/>
  <c r="E7" i="3"/>
  <c r="D7" i="3"/>
  <c r="C6" i="3"/>
  <c r="C7" i="3"/>
  <c r="E6" i="3"/>
  <c r="D6" i="3"/>
  <c r="B5" i="3"/>
  <c r="B6" i="3"/>
  <c r="H1019" i="1"/>
  <c r="H988" i="1"/>
  <c r="H957" i="1"/>
  <c r="H925" i="1"/>
  <c r="H893" i="1"/>
  <c r="H125" i="1"/>
  <c r="H862" i="1"/>
  <c r="H799" i="1"/>
  <c r="H768" i="1"/>
  <c r="H737" i="1"/>
  <c r="H706" i="1"/>
  <c r="H675" i="1"/>
  <c r="H643" i="1"/>
  <c r="H612" i="1"/>
  <c r="H581" i="1"/>
  <c r="H542" i="1"/>
  <c r="H509" i="1"/>
  <c r="H477" i="1"/>
  <c r="H445" i="1"/>
  <c r="H380" i="1"/>
  <c r="H348" i="1"/>
  <c r="H315" i="1"/>
  <c r="H282" i="1"/>
  <c r="H187" i="1"/>
  <c r="H156" i="1"/>
  <c r="H60" i="1"/>
  <c r="H46" i="2"/>
  <c r="C7" i="2"/>
  <c r="C15" i="2"/>
  <c r="C14" i="2"/>
  <c r="B17" i="2"/>
  <c r="B16" i="2"/>
  <c r="B15" i="2"/>
  <c r="B14" i="2"/>
  <c r="B13" i="2"/>
  <c r="B12" i="2"/>
  <c r="B11" i="2"/>
  <c r="H52" i="2"/>
  <c r="H51" i="2"/>
  <c r="H57" i="2"/>
  <c r="H58" i="2"/>
  <c r="H45" i="2"/>
  <c r="H44" i="2"/>
  <c r="C11" i="2"/>
  <c r="C13" i="2"/>
  <c r="C8" i="2"/>
  <c r="C12" i="2"/>
  <c r="C10" i="2"/>
  <c r="C9" i="2"/>
  <c r="H29" i="1"/>
</calcChain>
</file>

<file path=xl/sharedStrings.xml><?xml version="1.0" encoding="utf-8"?>
<sst xmlns="http://schemas.openxmlformats.org/spreadsheetml/2006/main" count="1488" uniqueCount="268">
  <si>
    <t>CONCEPTO:</t>
  </si>
  <si>
    <t>CLAVE:</t>
  </si>
  <si>
    <t>RENGLON:</t>
  </si>
  <si>
    <t>UNIDAD DE COSTO EXPRESADO EN:</t>
  </si>
  <si>
    <t>CANTIDAD:</t>
  </si>
  <si>
    <t>OBRA:</t>
  </si>
  <si>
    <t>FECHA:</t>
  </si>
  <si>
    <t>LOCALIZACION:</t>
  </si>
  <si>
    <t>MATERIALES</t>
  </si>
  <si>
    <t>DESCRIPCION</t>
  </si>
  <si>
    <t>CANTIDAD</t>
  </si>
  <si>
    <t>UNIDAD</t>
  </si>
  <si>
    <t>COSTO UNITARIO</t>
  </si>
  <si>
    <t>COSTO DIRECTO</t>
  </si>
  <si>
    <t>TOTAL DE MATERIALES</t>
  </si>
  <si>
    <t>MANO DE OBRA</t>
  </si>
  <si>
    <t>TOTAL DE MANO DE OBRA</t>
  </si>
  <si>
    <t>AYUDANTE</t>
  </si>
  <si>
    <t>PRESTACIONES</t>
  </si>
  <si>
    <t>MATERIALES PARA PROYECTO EN HUEHUETANGO</t>
  </si>
  <si>
    <t>Distancia en Kms.</t>
  </si>
  <si>
    <t>Flete en Camion 200 qq</t>
  </si>
  <si>
    <t>Flete en plataforma 560 qq</t>
  </si>
  <si>
    <t>MATERIAL</t>
  </si>
  <si>
    <t>C. UNITARIO</t>
  </si>
  <si>
    <t xml:space="preserve">CAMION </t>
  </si>
  <si>
    <t>PLATAFORMA</t>
  </si>
  <si>
    <t>CAMION</t>
  </si>
  <si>
    <t>Hierro grado 40</t>
  </si>
  <si>
    <t>Hierro No. 2</t>
  </si>
  <si>
    <t>Cemento ugc</t>
  </si>
  <si>
    <t>Hierro No. 3</t>
  </si>
  <si>
    <t>Arena de rio</t>
  </si>
  <si>
    <t>Hierro No. 4</t>
  </si>
  <si>
    <t>Piedrin</t>
  </si>
  <si>
    <t>Hierro No. 5</t>
  </si>
  <si>
    <t>Arena amarilla</t>
  </si>
  <si>
    <t>Hierro No. 6</t>
  </si>
  <si>
    <t>Arena blanca</t>
  </si>
  <si>
    <t>Hierro No. 7</t>
  </si>
  <si>
    <t xml:space="preserve">Cal horcalsa </t>
  </si>
  <si>
    <t>Hierro No. 8</t>
  </si>
  <si>
    <t>Pegasso base</t>
  </si>
  <si>
    <t>Hierro No. 9</t>
  </si>
  <si>
    <t>Pegasso fino</t>
  </si>
  <si>
    <t>Hierro No. 10</t>
  </si>
  <si>
    <t>Pegasso extrafino</t>
  </si>
  <si>
    <t>Hierro No. 11</t>
  </si>
  <si>
    <t>Pegamix</t>
  </si>
  <si>
    <t>Hierro grado 60</t>
  </si>
  <si>
    <t>Boquillex</t>
  </si>
  <si>
    <t>Madera pino rustico</t>
  </si>
  <si>
    <t>Selecto</t>
  </si>
  <si>
    <t>Concreto 3,000 psi, piedrin 3/4</t>
  </si>
  <si>
    <t>Concreto 4,000 psi, piedrin 3/4</t>
  </si>
  <si>
    <t>Concreto 5,000 psi, piedrin 3/4</t>
  </si>
  <si>
    <t>Servicio de bombeo de concreto</t>
  </si>
  <si>
    <t>Alambre de amarre</t>
  </si>
  <si>
    <t>Clavo</t>
  </si>
  <si>
    <t>Electromalla 2/2</t>
  </si>
  <si>
    <t>Electromalla 3/3</t>
  </si>
  <si>
    <t>Electromalla 4/4</t>
  </si>
  <si>
    <t>Electromalla 5/5</t>
  </si>
  <si>
    <t>Electromalla 6/6</t>
  </si>
  <si>
    <t>Electromalla 7/7</t>
  </si>
  <si>
    <t>Electromalla 8/8</t>
  </si>
  <si>
    <t>Electromalla 9/9</t>
  </si>
  <si>
    <t>Electromalla 10/10</t>
  </si>
  <si>
    <t>GASTOS ADMINISTRATIVOS</t>
  </si>
  <si>
    <t>Ayudantes de albañil</t>
  </si>
  <si>
    <t>Prestaciones</t>
  </si>
  <si>
    <t>Block 0.09x0.19x0.39x25 kgs</t>
  </si>
  <si>
    <t>Factor de indirectos</t>
  </si>
  <si>
    <t>Block 0.14x0.19x0.39x25 kgs</t>
  </si>
  <si>
    <t>Block 0.19x0.19x0.39x25 kgs</t>
  </si>
  <si>
    <t>Block U-0.14x0.19x0.39x25 kgs</t>
  </si>
  <si>
    <t>Block U-0.19x0.19x0.39x25 kgs</t>
  </si>
  <si>
    <t>Administracion</t>
  </si>
  <si>
    <t>Block U-0.14x0.19x0.39x35 kgs</t>
  </si>
  <si>
    <t>Imprevistos</t>
  </si>
  <si>
    <t>Block U-0.19x0.19x0.39x35 kgs</t>
  </si>
  <si>
    <t>Gastos Legales</t>
  </si>
  <si>
    <t>Block U-0.14x0.19x0.39x50 kgs</t>
  </si>
  <si>
    <t>Fianzas</t>
  </si>
  <si>
    <t>Block U-0.19x0.19x0.19x50 kgs</t>
  </si>
  <si>
    <t>Utilidades</t>
  </si>
  <si>
    <t>Block 0.09x0.19x0.39x35 kgs</t>
  </si>
  <si>
    <t>I.V.A.</t>
  </si>
  <si>
    <t>Block 0.14x0.19x0.39x35 kgs</t>
  </si>
  <si>
    <t>I.S.R.</t>
  </si>
  <si>
    <t>Block 0.19x0.19x0.39x35 kgs</t>
  </si>
  <si>
    <t>Block 0.09x0.19x0.39x50 kgs</t>
  </si>
  <si>
    <t>Block 0.14x0.19x0.39x50 kgs</t>
  </si>
  <si>
    <t>Block 0.19x0.19x0.39x50 kgs</t>
  </si>
  <si>
    <t>Superblock 0.14x0.14x0.29</t>
  </si>
  <si>
    <t>Unidades x camion</t>
  </si>
  <si>
    <t>SUBTOTAL MANO DE OBRA</t>
  </si>
  <si>
    <t>%</t>
  </si>
  <si>
    <t>COSTO DIRECTO TOTAL</t>
  </si>
  <si>
    <t>COSTO UNITARIO DIRECTO</t>
  </si>
  <si>
    <t>COSTO UNITARIO INDIRECTO</t>
  </si>
  <si>
    <t>COSTO UNITARIO TOTAL</t>
  </si>
  <si>
    <t>m3</t>
  </si>
  <si>
    <t>No. VR/qq</t>
  </si>
  <si>
    <t>CUADRO DE COSTOS UNITARIOS</t>
  </si>
  <si>
    <t>Excavacion y retiro de material</t>
  </si>
  <si>
    <t>CUYOTENANGO</t>
  </si>
  <si>
    <t>M2</t>
  </si>
  <si>
    <t>TRAZO Y ESTAQUEADO</t>
  </si>
  <si>
    <t>LEVANTADO DE BLOCK HASTA SOLERA HIDROFUGA</t>
  </si>
  <si>
    <t>SILLAR DE 0.10 X 0.14</t>
  </si>
  <si>
    <t>DINTEL DE 0.10 X 0.14</t>
  </si>
  <si>
    <t>INSTALACION ELECTRICA</t>
  </si>
  <si>
    <t>ACOMETIDA ELECTRICA</t>
  </si>
  <si>
    <t>INSTALACION DE AGUA POTABLE</t>
  </si>
  <si>
    <t>INSTALACION DE DRENAJES</t>
  </si>
  <si>
    <t>INODORO</t>
  </si>
  <si>
    <t>LAVAMANOS</t>
  </si>
  <si>
    <t>DUCHA</t>
  </si>
  <si>
    <t>AZULEJO DE 0.20 X 0.30</t>
  </si>
  <si>
    <t>ZAPATAS</t>
  </si>
  <si>
    <t>LAVAPLATOS DE 1 FOSA</t>
  </si>
  <si>
    <t>PILA DE UN LAVADERO</t>
  </si>
  <si>
    <t>REPELLO + CERNIDO VERTICAL</t>
  </si>
  <si>
    <t>BLANQUEADO EN SALIENTES</t>
  </si>
  <si>
    <t>CARRILERAS DE GARAGE</t>
  </si>
  <si>
    <t>PUERTAS TIPO 1</t>
  </si>
  <si>
    <t>LIMPIEZA, CHAPEO Y DESTRONQUE</t>
  </si>
  <si>
    <t>TRABAJOS PRELIMINARES</t>
  </si>
  <si>
    <t>TOTAL</t>
  </si>
  <si>
    <t>RENGLON</t>
  </si>
  <si>
    <t>CASA:</t>
  </si>
  <si>
    <t>COSTO  M2:</t>
  </si>
  <si>
    <t>CIMENTACION</t>
  </si>
  <si>
    <t>LEVANTADO DE BLOCK</t>
  </si>
  <si>
    <t>SOLERAS</t>
  </si>
  <si>
    <t>COLUMNAS</t>
  </si>
  <si>
    <t>LOSAS</t>
  </si>
  <si>
    <t>ARTEFACTOS</t>
  </si>
  <si>
    <t>ACABADOS</t>
  </si>
  <si>
    <t>GARAGE</t>
  </si>
  <si>
    <t>PUERTAS</t>
  </si>
  <si>
    <t>VENTANERIA</t>
  </si>
  <si>
    <t>MANO OBRA</t>
  </si>
  <si>
    <t>COSTO TOTAL PROYECTO:</t>
  </si>
  <si>
    <t>M2 DE VIVIENDA:</t>
  </si>
  <si>
    <t>COSTO UNITARIO M2:</t>
  </si>
  <si>
    <t>Limpieza , chapeo, y destronque</t>
  </si>
  <si>
    <t>m2</t>
  </si>
  <si>
    <t>m</t>
  </si>
  <si>
    <t>Trazo y estaqueado</t>
  </si>
  <si>
    <t>cal</t>
  </si>
  <si>
    <t>Madera</t>
  </si>
  <si>
    <t>bolsa</t>
  </si>
  <si>
    <t>p.t.</t>
  </si>
  <si>
    <t>Cemento</t>
  </si>
  <si>
    <t>Hierro No.3</t>
  </si>
  <si>
    <t>Excavacion</t>
  </si>
  <si>
    <t>Relleno</t>
  </si>
  <si>
    <t>Armadura No.3</t>
  </si>
  <si>
    <t xml:space="preserve">m </t>
  </si>
  <si>
    <t>Armadura No. 2</t>
  </si>
  <si>
    <t>Fundicion</t>
  </si>
  <si>
    <t>saco</t>
  </si>
  <si>
    <t>varilla</t>
  </si>
  <si>
    <t>libra</t>
  </si>
  <si>
    <t>Encofrado y desencofrado</t>
  </si>
  <si>
    <t>clavo</t>
  </si>
  <si>
    <t>Block de 0.14 x 0.19 x 0.39</t>
  </si>
  <si>
    <t>unidad</t>
  </si>
  <si>
    <t>Levantado de block rustico</t>
  </si>
  <si>
    <t>Levantado de block cisado una cara</t>
  </si>
  <si>
    <t>Block de 0.09 x 0.19 x 0.39</t>
  </si>
  <si>
    <t>Levantado de block cisado dos caras</t>
  </si>
  <si>
    <t>GLOBAL</t>
  </si>
  <si>
    <t>ML</t>
  </si>
  <si>
    <t>Materiales para puerta</t>
  </si>
  <si>
    <t>global</t>
  </si>
  <si>
    <t>fabricacion e instalacion de puerta</t>
  </si>
  <si>
    <t>cajas</t>
  </si>
  <si>
    <t>instalacion de drenajes</t>
  </si>
  <si>
    <t>instalacion de cajas</t>
  </si>
  <si>
    <t>pila</t>
  </si>
  <si>
    <t>instalacion de pila</t>
  </si>
  <si>
    <t>Lavaplatos de 1 fosa y accesorios</t>
  </si>
  <si>
    <t>instalacion de lavaplatos</t>
  </si>
  <si>
    <t>Inodoro + accesorios</t>
  </si>
  <si>
    <t>Instalaicon de inodoro</t>
  </si>
  <si>
    <t>cemento</t>
  </si>
  <si>
    <t>Hierro No.4</t>
  </si>
  <si>
    <t>Armadura No.4</t>
  </si>
  <si>
    <t>Armadura No. 3</t>
  </si>
  <si>
    <t>Instalacion electrica</t>
  </si>
  <si>
    <r>
      <t xml:space="preserve">Tubo pvc electrico </t>
    </r>
    <r>
      <rPr>
        <sz val="12"/>
        <color theme="1"/>
        <rFont val="Calibri"/>
        <family val="2"/>
      </rPr>
      <t>ø 3/4"</t>
    </r>
  </si>
  <si>
    <t>Plafoneras</t>
  </si>
  <si>
    <t>Reflector simple</t>
  </si>
  <si>
    <t>Reflector doble</t>
  </si>
  <si>
    <t>Interruptor simple</t>
  </si>
  <si>
    <t>Interruptor doble</t>
  </si>
  <si>
    <t>Interruptor simple con dado tomacorriente</t>
  </si>
  <si>
    <r>
      <t>Codo pvc electrico 90</t>
    </r>
    <r>
      <rPr>
        <sz val="12"/>
        <color theme="1"/>
        <rFont val="Calibri"/>
        <family val="2"/>
      </rPr>
      <t>°</t>
    </r>
    <r>
      <rPr>
        <sz val="12"/>
        <color theme="1"/>
        <rFont val="Microsoft Yi Baiti"/>
        <family val="4"/>
      </rPr>
      <t xml:space="preserve"> ø 3/4"</t>
    </r>
  </si>
  <si>
    <r>
      <t>Codo pvc electrico 45</t>
    </r>
    <r>
      <rPr>
        <sz val="12"/>
        <color theme="1"/>
        <rFont val="Calibri"/>
        <family val="2"/>
      </rPr>
      <t>°</t>
    </r>
    <r>
      <rPr>
        <sz val="12"/>
        <color theme="1"/>
        <rFont val="Microsoft Yi Baiti"/>
        <family val="4"/>
      </rPr>
      <t xml:space="preserve"> ø 3/4"</t>
    </r>
  </si>
  <si>
    <t>Cable No.12 110 voltios</t>
  </si>
  <si>
    <t>Cable No.12 220 voltios</t>
  </si>
  <si>
    <t>ml</t>
  </si>
  <si>
    <t>Cable iluminacion</t>
  </si>
  <si>
    <t>CASA LAUREL (1ER NIVEL)</t>
  </si>
  <si>
    <t>LEVANTADO DE BLOCK 0.14 X 0.19 X 0.39 DE 50 KG. CISADO UNA CARA</t>
  </si>
  <si>
    <t>INSTALACION DE DRENAJE SANITARIO</t>
  </si>
  <si>
    <t xml:space="preserve"> M2 DE 1ER NIVEL</t>
  </si>
  <si>
    <t>VENTANERIA DE ALUMINIO MIL FINISH</t>
  </si>
  <si>
    <t>MANO</t>
  </si>
  <si>
    <t>DE OBRA</t>
  </si>
  <si>
    <t>TOTAL DEL</t>
  </si>
  <si>
    <t>RENGLÓN</t>
  </si>
  <si>
    <t>COSTO</t>
  </si>
  <si>
    <t>UNITARIO</t>
  </si>
  <si>
    <t>AYUDANTE2</t>
  </si>
  <si>
    <t>Zanjeo</t>
  </si>
  <si>
    <t>CIMIENTO CORRIDO RECTANGULAR CC-01 DE 0.20 X 0.40</t>
  </si>
  <si>
    <t xml:space="preserve">LEVANTADO DE BLOCK 0.09 X 0.19 X 0.39 </t>
  </si>
  <si>
    <t xml:space="preserve">LEVANTADO DE BLOCK 0.14 X 0.19 X 0.39 </t>
  </si>
  <si>
    <t>Block de 0.19 x 0.19 x 0.39</t>
  </si>
  <si>
    <t>SOLERA HIDROFUGA Y MOJINETE DE 0.14 X 0.20</t>
  </si>
  <si>
    <t>SOLERA INTERMEDIA DE BLOCK U</t>
  </si>
  <si>
    <t>block U</t>
  </si>
  <si>
    <t>Unidad</t>
  </si>
  <si>
    <t>ALDEA EL TULE</t>
  </si>
  <si>
    <t>CASA RUDY MAEDA</t>
  </si>
  <si>
    <t>COLUMNAS TIPO C-1 DE 0.20 X 0.15</t>
  </si>
  <si>
    <t>COLUMNAS TIPO C-2 DE 0.15 X 0.15</t>
  </si>
  <si>
    <t>COLUMNAS TIPO C-3 DE 0.10 X 0.15</t>
  </si>
  <si>
    <t>TORNILLOS</t>
  </si>
  <si>
    <t>COSTANERAS COMERCIAL 2" X 4"</t>
  </si>
  <si>
    <t>LAMINA ACANALADA 6´ CAL. 28</t>
  </si>
  <si>
    <t>montaje y soldadura</t>
  </si>
  <si>
    <t>PISO DE GRNITO</t>
  </si>
  <si>
    <t>PISO DE GRANITO</t>
  </si>
  <si>
    <t>CEMENTO</t>
  </si>
  <si>
    <t>ARENA DE RIO</t>
  </si>
  <si>
    <t>sacos</t>
  </si>
  <si>
    <t>colocacion piso</t>
  </si>
  <si>
    <t>colocaion azulejo</t>
  </si>
  <si>
    <t>azulejo</t>
  </si>
  <si>
    <t>arena amarilla</t>
  </si>
  <si>
    <t>repello + cernido</t>
  </si>
  <si>
    <t>COSTO MATERIALES</t>
  </si>
  <si>
    <t>ARENA</t>
  </si>
  <si>
    <t>PIEDRIN</t>
  </si>
  <si>
    <t>BLOCK 0.14*0.19*0.39</t>
  </si>
  <si>
    <t>BLOCK U 0.14*0.19*0.39</t>
  </si>
  <si>
    <t>BLOCK 0.09 *0.19*0.39</t>
  </si>
  <si>
    <t>HIERRO 3/8</t>
  </si>
  <si>
    <t>HIERRO 1/4</t>
  </si>
  <si>
    <t>CLAVOS</t>
  </si>
  <si>
    <t>ALAMBRE</t>
  </si>
  <si>
    <t>MADERA</t>
  </si>
  <si>
    <t>CAL</t>
  </si>
  <si>
    <t>ASULEJO 0.20 * 0.30</t>
  </si>
  <si>
    <t>SACO</t>
  </si>
  <si>
    <t>M3</t>
  </si>
  <si>
    <t>VARILLA</t>
  </si>
  <si>
    <t>LB</t>
  </si>
  <si>
    <t>PT</t>
  </si>
  <si>
    <t>LAMINA ACANALADA CAL. 28 6`</t>
  </si>
  <si>
    <t>COSTANERAS COMERCIALES 2" X 4"</t>
  </si>
  <si>
    <t>TECHO ESTRUCTURA METALICA</t>
  </si>
  <si>
    <t>PRESUPUESTO CASA FAMILIA SALAZAR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</si>
</sst>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-* #,##0.00\ _€_-;\-* #,##0.00\ _€_-;_-* &quot;-&quot;??\ _€_-;_-@_-"/>
    <numFmt numFmtId="164" formatCode="_(* #,##0.00_);_(* \(#,##0.00\);_(* &quot;-&quot;??_);_(@_)"/>
    <numFmt numFmtId="165" formatCode="&quot;Q&quot;#,##0.00_);\(&quot;Q&quot;#,##0.00\)"/>
    <numFmt numFmtId="166" formatCode="[$Q-100A]#,##0.00"/>
    <numFmt numFmtId="167" formatCode="&quot;Q&quot;#,##0.00"/>
    <numFmt numFmtId="168" formatCode="_(* #,##0.00000_);_(* \(#,##0.00000\);_(* &quot;-&quot;??_);_(@_)"/>
    <numFmt numFmtId="169" formatCode="_-[$Q-100A]* #,##0.00_-;\-[$Q-100A]* #,##0.00_-;_-[$Q-100A]* &quot;-&quot;??_-;_-@_-"/>
  </numFmts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name val="Century Gothic"/>
      <family val="2"/>
    </font>
    <font>
      <sz val="8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1"/>
      <color theme="1"/>
      <name val="Calibri"/>
      <family val="2"/>
      <scheme val="minor"/>
    </font>
    <font>
      <sz val="12"/>
      <color theme="1"/>
      <name val="Microsoft Yi Baiti"/>
      <family val="4"/>
    </font>
    <font>
      <b/>
      <sz val="12"/>
      <color theme="1"/>
      <name val="Microsoft Yi Baiti"/>
      <family val="4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2"/>
      <color theme="0"/>
      <name val="Microsoft Yi Baiti"/>
      <family val="4"/>
    </font>
    <font>
      <sz val="12"/>
      <color theme="1"/>
      <name val="Calibri"/>
      <family val="2"/>
    </font>
    <font>
      <b/>
      <sz val="11"/>
      <color rgb="FFFF0000"/>
      <name val="Calibri"/>
      <family val="2"/>
      <scheme val="minor"/>
    </font>
    <font>
      <b/>
      <sz val="12"/>
      <name val="Microsoft Yi Baiti"/>
      <family val="4"/>
    </font>
    <font>
      <sz val="12"/>
      <name val="Microsoft Yi Baiti"/>
      <family val="4"/>
    </font>
    <font>
      <sz val="12"/>
      <name val="Calibri"/>
      <family val="2"/>
      <scheme val="minor"/>
    </font>
    <font>
      <sz val="11"/>
      <color rgb="FFFFFF00"/>
      <name val="Calibri"/>
      <family val="2"/>
      <scheme val="minor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0"/>
      <color theme="1"/>
      <name val="Century Gothic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7" fillId="0" borderId="0" applyFont="0" applyFill="0" applyBorder="0" applyAlignment="0" applyProtection="0"/>
    <xf numFmtId="0" fontId="1" fillId="0" borderId="0"/>
  </cellStyleXfs>
  <cellXfs count="302">
    <xf numFmtId="0" fontId="0" fillId="0" borderId="0" xfId="0"/>
    <xf numFmtId="0" fontId="1" fillId="0" borderId="0" xfId="2"/>
    <xf numFmtId="2" fontId="1" fillId="0" borderId="0" xfId="2" applyNumberFormat="1"/>
    <xf numFmtId="0" fontId="3" fillId="0" borderId="0" xfId="2" applyFont="1" applyAlignment="1">
      <alignment horizontal="center"/>
    </xf>
    <xf numFmtId="2" fontId="3" fillId="0" borderId="0" xfId="2" applyNumberFormat="1" applyFont="1" applyAlignment="1">
      <alignment horizontal="center"/>
    </xf>
    <xf numFmtId="0" fontId="6" fillId="0" borderId="0" xfId="2" applyFont="1"/>
    <xf numFmtId="2" fontId="6" fillId="0" borderId="0" xfId="2" applyNumberFormat="1" applyFont="1"/>
    <xf numFmtId="2" fontId="4" fillId="0" borderId="0" xfId="2" applyNumberFormat="1" applyFont="1" applyAlignment="1">
      <alignment horizontal="center"/>
    </xf>
    <xf numFmtId="0" fontId="4" fillId="0" borderId="0" xfId="2" applyFont="1" applyAlignment="1">
      <alignment horizontal="center"/>
    </xf>
    <xf numFmtId="0" fontId="5" fillId="0" borderId="0" xfId="2" applyFont="1"/>
    <xf numFmtId="0" fontId="3" fillId="0" borderId="0" xfId="2" applyFont="1"/>
    <xf numFmtId="0" fontId="6" fillId="2" borderId="0" xfId="2" applyFont="1" applyFill="1"/>
    <xf numFmtId="2" fontId="6" fillId="2" borderId="0" xfId="2" applyNumberFormat="1" applyFont="1" applyFill="1"/>
    <xf numFmtId="0" fontId="1" fillId="0" borderId="0" xfId="2" applyAlignment="1">
      <alignment horizontal="center"/>
    </xf>
    <xf numFmtId="0" fontId="1" fillId="3" borderId="0" xfId="2" applyFill="1"/>
    <xf numFmtId="0" fontId="1" fillId="3" borderId="0" xfId="2" applyFill="1" applyAlignment="1">
      <alignment horizontal="center"/>
    </xf>
    <xf numFmtId="0" fontId="2" fillId="0" borderId="0" xfId="2" applyFont="1" applyAlignment="1">
      <alignment horizontal="center"/>
    </xf>
    <xf numFmtId="164" fontId="0" fillId="0" borderId="0" xfId="0" applyNumberFormat="1"/>
    <xf numFmtId="2" fontId="0" fillId="0" borderId="0" xfId="0" applyNumberFormat="1"/>
    <xf numFmtId="0" fontId="1" fillId="4" borderId="0" xfId="2" applyFill="1"/>
    <xf numFmtId="2" fontId="1" fillId="0" borderId="0" xfId="2" applyNumberFormat="1" applyFill="1"/>
    <xf numFmtId="0" fontId="8" fillId="0" borderId="4" xfId="0" applyFont="1" applyBorder="1" applyAlignment="1">
      <alignment horizontal="center" vertical="center" wrapText="1"/>
    </xf>
    <xf numFmtId="0" fontId="8" fillId="0" borderId="0" xfId="0" applyFont="1"/>
    <xf numFmtId="164" fontId="8" fillId="0" borderId="10" xfId="1" applyFont="1" applyBorder="1"/>
    <xf numFmtId="164" fontId="8" fillId="0" borderId="10" xfId="1" applyFont="1" applyBorder="1" applyAlignment="1">
      <alignment horizontal="center"/>
    </xf>
    <xf numFmtId="164" fontId="8" fillId="0" borderId="1" xfId="1" applyFont="1" applyBorder="1"/>
    <xf numFmtId="164" fontId="8" fillId="0" borderId="11" xfId="1" applyFont="1" applyBorder="1"/>
    <xf numFmtId="164" fontId="8" fillId="0" borderId="11" xfId="1" applyFont="1" applyBorder="1" applyAlignment="1">
      <alignment horizontal="center"/>
    </xf>
    <xf numFmtId="164" fontId="8" fillId="0" borderId="3" xfId="1" applyFont="1" applyBorder="1"/>
    <xf numFmtId="0" fontId="8" fillId="0" borderId="3" xfId="0" applyFont="1" applyBorder="1"/>
    <xf numFmtId="0" fontId="8" fillId="0" borderId="4" xfId="0" applyFont="1" applyBorder="1"/>
    <xf numFmtId="0" fontId="8" fillId="0" borderId="1" xfId="0" applyFont="1" applyBorder="1"/>
    <xf numFmtId="0" fontId="9" fillId="0" borderId="2" xfId="0" applyFont="1" applyBorder="1" applyAlignment="1">
      <alignment horizontal="center"/>
    </xf>
    <xf numFmtId="164" fontId="8" fillId="0" borderId="3" xfId="1" applyFont="1" applyBorder="1" applyAlignment="1"/>
    <xf numFmtId="0" fontId="8" fillId="0" borderId="5" xfId="0" applyFont="1" applyBorder="1"/>
    <xf numFmtId="0" fontId="9" fillId="0" borderId="9" xfId="0" applyFont="1" applyBorder="1" applyAlignment="1">
      <alignment horizontal="center"/>
    </xf>
    <xf numFmtId="164" fontId="8" fillId="0" borderId="5" xfId="1" applyFont="1" applyBorder="1" applyAlignment="1"/>
    <xf numFmtId="164" fontId="8" fillId="0" borderId="12" xfId="1" applyFont="1" applyBorder="1" applyAlignment="1">
      <alignment horizontal="center"/>
    </xf>
    <xf numFmtId="164" fontId="8" fillId="0" borderId="12" xfId="1" applyFont="1" applyBorder="1"/>
    <xf numFmtId="0" fontId="8" fillId="0" borderId="6" xfId="0" applyFont="1" applyBorder="1"/>
    <xf numFmtId="0" fontId="8" fillId="0" borderId="2" xfId="0" applyFont="1" applyBorder="1"/>
    <xf numFmtId="164" fontId="8" fillId="0" borderId="7" xfId="1" applyFont="1" applyBorder="1"/>
    <xf numFmtId="164" fontId="8" fillId="0" borderId="8" xfId="1" applyFont="1" applyBorder="1"/>
    <xf numFmtId="164" fontId="8" fillId="0" borderId="9" xfId="1" applyFont="1" applyBorder="1"/>
    <xf numFmtId="164" fontId="8" fillId="0" borderId="7" xfId="0" applyNumberFormat="1" applyFont="1" applyBorder="1"/>
    <xf numFmtId="0" fontId="9" fillId="0" borderId="10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6" xfId="0" applyFont="1" applyBorder="1" applyAlignment="1">
      <alignment vertical="center"/>
    </xf>
    <xf numFmtId="0" fontId="9" fillId="0" borderId="11" xfId="0" applyFont="1" applyBorder="1" applyAlignment="1">
      <alignment horizontal="right" vertical="center"/>
    </xf>
    <xf numFmtId="0" fontId="9" fillId="0" borderId="3" xfId="0" applyFont="1" applyBorder="1" applyAlignment="1">
      <alignment horizontal="right" wrapText="1"/>
    </xf>
    <xf numFmtId="0" fontId="9" fillId="0" borderId="3" xfId="0" applyFont="1" applyBorder="1" applyAlignment="1">
      <alignment vertical="center"/>
    </xf>
    <xf numFmtId="0" fontId="9" fillId="0" borderId="12" xfId="0" applyFont="1" applyBorder="1" applyAlignment="1">
      <alignment horizontal="right" vertical="center"/>
    </xf>
    <xf numFmtId="0" fontId="9" fillId="0" borderId="5" xfId="0" applyFont="1" applyBorder="1"/>
    <xf numFmtId="0" fontId="9" fillId="0" borderId="9" xfId="0" applyFont="1" applyBorder="1"/>
    <xf numFmtId="0" fontId="9" fillId="0" borderId="5" xfId="0" applyFont="1" applyBorder="1" applyAlignment="1">
      <alignment horizontal="left" vertical="top"/>
    </xf>
    <xf numFmtId="14" fontId="9" fillId="0" borderId="9" xfId="0" applyNumberFormat="1" applyFont="1" applyBorder="1"/>
    <xf numFmtId="0" fontId="10" fillId="0" borderId="0" xfId="0" applyFont="1"/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8" fillId="0" borderId="8" xfId="0" applyFont="1" applyBorder="1"/>
    <xf numFmtId="0" fontId="8" fillId="0" borderId="0" xfId="0" applyFont="1" applyBorder="1" applyAlignment="1">
      <alignment horizontal="right"/>
    </xf>
    <xf numFmtId="164" fontId="8" fillId="0" borderId="0" xfId="0" applyNumberFormat="1" applyFont="1" applyBorder="1"/>
    <xf numFmtId="164" fontId="8" fillId="0" borderId="6" xfId="1" applyFont="1" applyBorder="1"/>
    <xf numFmtId="164" fontId="8" fillId="0" borderId="7" xfId="1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2" fontId="9" fillId="0" borderId="10" xfId="0" applyNumberFormat="1" applyFont="1" applyBorder="1" applyAlignment="1">
      <alignment horizontal="center" vertical="center"/>
    </xf>
    <xf numFmtId="2" fontId="9" fillId="0" borderId="12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0" fillId="0" borderId="7" xfId="0" applyBorder="1"/>
    <xf numFmtId="0" fontId="12" fillId="7" borderId="7" xfId="0" applyFont="1" applyFill="1" applyBorder="1"/>
    <xf numFmtId="165" fontId="12" fillId="7" borderId="7" xfId="1" applyNumberFormat="1" applyFont="1" applyFill="1" applyBorder="1" applyAlignment="1">
      <alignment horizontal="center"/>
    </xf>
    <xf numFmtId="164" fontId="12" fillId="7" borderId="7" xfId="0" applyNumberFormat="1" applyFont="1" applyFill="1" applyBorder="1" applyAlignment="1">
      <alignment horizontal="center"/>
    </xf>
    <xf numFmtId="0" fontId="12" fillId="7" borderId="7" xfId="0" applyFont="1" applyFill="1" applyBorder="1" applyAlignment="1">
      <alignment horizontal="center"/>
    </xf>
    <xf numFmtId="0" fontId="0" fillId="0" borderId="0" xfId="0" applyBorder="1"/>
    <xf numFmtId="0" fontId="13" fillId="6" borderId="0" xfId="0" applyFont="1" applyFill="1"/>
    <xf numFmtId="0" fontId="13" fillId="0" borderId="0" xfId="0" applyFont="1"/>
    <xf numFmtId="2" fontId="9" fillId="7" borderId="7" xfId="0" applyNumberFormat="1" applyFont="1" applyFill="1" applyBorder="1" applyAlignment="1">
      <alignment horizontal="center" vertical="center" wrapText="1"/>
    </xf>
    <xf numFmtId="0" fontId="13" fillId="0" borderId="8" xfId="0" applyFont="1" applyBorder="1"/>
    <xf numFmtId="164" fontId="9" fillId="7" borderId="4" xfId="1" applyFont="1" applyFill="1" applyBorder="1" applyAlignment="1">
      <alignment wrapText="1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164" fontId="8" fillId="0" borderId="0" xfId="1" applyFont="1" applyBorder="1"/>
    <xf numFmtId="0" fontId="9" fillId="0" borderId="8" xfId="0" applyFont="1" applyFill="1" applyBorder="1" applyAlignment="1">
      <alignment horizontal="center" vertical="center" wrapText="1"/>
    </xf>
    <xf numFmtId="0" fontId="15" fillId="0" borderId="0" xfId="0" applyFont="1"/>
    <xf numFmtId="0" fontId="8" fillId="0" borderId="8" xfId="0" applyFont="1" applyBorder="1" applyAlignment="1">
      <alignment horizontal="center" vertical="center" wrapText="1"/>
    </xf>
    <xf numFmtId="14" fontId="9" fillId="0" borderId="9" xfId="0" applyNumberFormat="1" applyFont="1" applyBorder="1" applyAlignment="1">
      <alignment horizontal="center"/>
    </xf>
    <xf numFmtId="168" fontId="8" fillId="0" borderId="11" xfId="1" applyNumberFormat="1" applyFont="1" applyBorder="1"/>
    <xf numFmtId="0" fontId="9" fillId="7" borderId="7" xfId="0" applyFont="1" applyFill="1" applyBorder="1" applyAlignment="1">
      <alignment horizontal="center" vertical="center" wrapText="1"/>
    </xf>
    <xf numFmtId="164" fontId="8" fillId="0" borderId="7" xfId="1" applyFont="1" applyFill="1" applyBorder="1"/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16" fillId="0" borderId="10" xfId="0" applyFont="1" applyFill="1" applyBorder="1" applyAlignment="1">
      <alignment horizontal="right" vertical="center"/>
    </xf>
    <xf numFmtId="2" fontId="16" fillId="0" borderId="10" xfId="0" applyNumberFormat="1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right" vertical="center" wrapText="1"/>
    </xf>
    <xf numFmtId="0" fontId="16" fillId="0" borderId="8" xfId="0" applyFont="1" applyFill="1" applyBorder="1" applyAlignment="1">
      <alignment horizontal="center" vertical="center" wrapText="1"/>
    </xf>
    <xf numFmtId="0" fontId="16" fillId="0" borderId="6" xfId="0" applyFont="1" applyFill="1" applyBorder="1" applyAlignment="1">
      <alignment vertical="center"/>
    </xf>
    <xf numFmtId="0" fontId="17" fillId="0" borderId="8" xfId="0" applyFont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right" vertical="center"/>
    </xf>
    <xf numFmtId="0" fontId="16" fillId="0" borderId="3" xfId="0" applyFont="1" applyFill="1" applyBorder="1" applyAlignment="1">
      <alignment horizontal="right" wrapText="1"/>
    </xf>
    <xf numFmtId="0" fontId="16" fillId="0" borderId="3" xfId="0" applyFont="1" applyFill="1" applyBorder="1" applyAlignment="1">
      <alignment vertical="center"/>
    </xf>
    <xf numFmtId="0" fontId="17" fillId="0" borderId="4" xfId="0" applyFont="1" applyFill="1" applyBorder="1" applyAlignment="1">
      <alignment horizontal="center" vertical="center" wrapText="1"/>
    </xf>
    <xf numFmtId="0" fontId="16" fillId="0" borderId="12" xfId="0" applyFont="1" applyFill="1" applyBorder="1" applyAlignment="1">
      <alignment horizontal="right" vertical="center"/>
    </xf>
    <xf numFmtId="2" fontId="16" fillId="0" borderId="12" xfId="0" applyNumberFormat="1" applyFont="1" applyFill="1" applyBorder="1" applyAlignment="1">
      <alignment horizontal="center" vertical="center"/>
    </xf>
    <xf numFmtId="0" fontId="16" fillId="0" borderId="5" xfId="0" applyFont="1" applyFill="1" applyBorder="1"/>
    <xf numFmtId="0" fontId="16" fillId="0" borderId="9" xfId="0" applyFont="1" applyFill="1" applyBorder="1"/>
    <xf numFmtId="0" fontId="16" fillId="0" borderId="5" xfId="0" applyFont="1" applyFill="1" applyBorder="1" applyAlignment="1">
      <alignment horizontal="left" vertical="top"/>
    </xf>
    <xf numFmtId="14" fontId="16" fillId="0" borderId="9" xfId="0" applyNumberFormat="1" applyFont="1" applyFill="1" applyBorder="1"/>
    <xf numFmtId="0" fontId="18" fillId="0" borderId="0" xfId="0" applyFont="1" applyFill="1"/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 wrapText="1"/>
    </xf>
    <xf numFmtId="0" fontId="17" fillId="0" borderId="0" xfId="0" applyFont="1" applyFill="1"/>
    <xf numFmtId="164" fontId="17" fillId="0" borderId="10" xfId="1" applyFont="1" applyFill="1" applyBorder="1"/>
    <xf numFmtId="164" fontId="17" fillId="0" borderId="10" xfId="1" applyFont="1" applyFill="1" applyBorder="1" applyAlignment="1">
      <alignment horizontal="center"/>
    </xf>
    <xf numFmtId="164" fontId="17" fillId="0" borderId="1" xfId="1" applyFont="1" applyFill="1" applyBorder="1"/>
    <xf numFmtId="164" fontId="17" fillId="0" borderId="11" xfId="1" applyFont="1" applyFill="1" applyBorder="1"/>
    <xf numFmtId="164" fontId="17" fillId="0" borderId="11" xfId="1" applyFont="1" applyFill="1" applyBorder="1" applyAlignment="1">
      <alignment horizontal="center"/>
    </xf>
    <xf numFmtId="164" fontId="17" fillId="0" borderId="3" xfId="1" applyFont="1" applyFill="1" applyBorder="1"/>
    <xf numFmtId="0" fontId="17" fillId="0" borderId="6" xfId="0" applyFont="1" applyFill="1" applyBorder="1"/>
    <xf numFmtId="164" fontId="17" fillId="0" borderId="7" xfId="1" applyFont="1" applyFill="1" applyBorder="1"/>
    <xf numFmtId="164" fontId="17" fillId="0" borderId="6" xfId="1" applyFont="1" applyFill="1" applyBorder="1"/>
    <xf numFmtId="164" fontId="17" fillId="0" borderId="7" xfId="1" applyFont="1" applyFill="1" applyBorder="1" applyAlignment="1">
      <alignment horizontal="center"/>
    </xf>
    <xf numFmtId="0" fontId="17" fillId="0" borderId="3" xfId="0" applyFont="1" applyFill="1" applyBorder="1"/>
    <xf numFmtId="0" fontId="17" fillId="0" borderId="4" xfId="0" applyFont="1" applyFill="1" applyBorder="1"/>
    <xf numFmtId="0" fontId="17" fillId="0" borderId="1" xfId="0" applyFont="1" applyFill="1" applyBorder="1"/>
    <xf numFmtId="0" fontId="16" fillId="0" borderId="2" xfId="0" applyFont="1" applyFill="1" applyBorder="1" applyAlignment="1">
      <alignment horizontal="center"/>
    </xf>
    <xf numFmtId="164" fontId="17" fillId="0" borderId="3" xfId="1" applyFont="1" applyFill="1" applyBorder="1" applyAlignment="1"/>
    <xf numFmtId="0" fontId="17" fillId="0" borderId="5" xfId="0" applyFont="1" applyFill="1" applyBorder="1"/>
    <xf numFmtId="0" fontId="16" fillId="0" borderId="9" xfId="0" applyFont="1" applyFill="1" applyBorder="1" applyAlignment="1">
      <alignment horizontal="center"/>
    </xf>
    <xf numFmtId="164" fontId="17" fillId="0" borderId="5" xfId="1" applyFont="1" applyFill="1" applyBorder="1" applyAlignment="1"/>
    <xf numFmtId="164" fontId="17" fillId="0" borderId="12" xfId="1" applyFont="1" applyFill="1" applyBorder="1" applyAlignment="1">
      <alignment horizontal="center"/>
    </xf>
    <xf numFmtId="164" fontId="17" fillId="0" borderId="12" xfId="1" applyFont="1" applyFill="1" applyBorder="1"/>
    <xf numFmtId="0" fontId="17" fillId="0" borderId="2" xfId="0" applyFont="1" applyFill="1" applyBorder="1"/>
    <xf numFmtId="164" fontId="17" fillId="0" borderId="8" xfId="1" applyFont="1" applyFill="1" applyBorder="1"/>
    <xf numFmtId="164" fontId="17" fillId="0" borderId="9" xfId="1" applyFont="1" applyFill="1" applyBorder="1"/>
    <xf numFmtId="164" fontId="17" fillId="0" borderId="7" xfId="0" applyNumberFormat="1" applyFont="1" applyFill="1" applyBorder="1"/>
    <xf numFmtId="2" fontId="16" fillId="7" borderId="7" xfId="0" applyNumberFormat="1" applyFont="1" applyFill="1" applyBorder="1" applyAlignment="1">
      <alignment horizontal="center" vertical="center" wrapText="1"/>
    </xf>
    <xf numFmtId="0" fontId="13" fillId="0" borderId="8" xfId="0" applyFont="1" applyFill="1" applyBorder="1"/>
    <xf numFmtId="164" fontId="16" fillId="7" borderId="4" xfId="1" applyFont="1" applyFill="1" applyBorder="1" applyAlignment="1">
      <alignment wrapText="1"/>
    </xf>
    <xf numFmtId="4" fontId="21" fillId="5" borderId="16" xfId="0" applyNumberFormat="1" applyFont="1" applyFill="1" applyBorder="1" applyAlignment="1">
      <alignment horizontal="center"/>
    </xf>
    <xf numFmtId="166" fontId="21" fillId="5" borderId="17" xfId="0" applyNumberFormat="1" applyFont="1" applyFill="1" applyBorder="1" applyAlignment="1">
      <alignment horizontal="center"/>
    </xf>
    <xf numFmtId="2" fontId="21" fillId="0" borderId="12" xfId="0" applyNumberFormat="1" applyFont="1" applyBorder="1" applyAlignment="1">
      <alignment horizontal="center" vertical="center"/>
    </xf>
    <xf numFmtId="0" fontId="21" fillId="0" borderId="12" xfId="0" applyFont="1" applyFill="1" applyBorder="1" applyAlignment="1">
      <alignment vertical="center" wrapText="1"/>
    </xf>
    <xf numFmtId="164" fontId="21" fillId="0" borderId="12" xfId="0" applyNumberFormat="1" applyFont="1" applyFill="1" applyBorder="1" applyAlignment="1">
      <alignment vertical="center"/>
    </xf>
    <xf numFmtId="0" fontId="21" fillId="0" borderId="12" xfId="0" applyFont="1" applyBorder="1" applyAlignment="1">
      <alignment vertical="center"/>
    </xf>
    <xf numFmtId="166" fontId="21" fillId="0" borderId="12" xfId="0" applyNumberFormat="1" applyFont="1" applyBorder="1" applyAlignment="1">
      <alignment vertical="center"/>
    </xf>
    <xf numFmtId="2" fontId="21" fillId="0" borderId="10" xfId="0" applyNumberFormat="1" applyFont="1" applyBorder="1" applyAlignment="1">
      <alignment horizontal="center" vertical="center"/>
    </xf>
    <xf numFmtId="0" fontId="21" fillId="0" borderId="10" xfId="0" applyFont="1" applyFill="1" applyBorder="1" applyAlignment="1">
      <alignment vertical="center" wrapText="1"/>
    </xf>
    <xf numFmtId="164" fontId="21" fillId="0" borderId="10" xfId="0" applyNumberFormat="1" applyFont="1" applyBorder="1" applyAlignment="1">
      <alignment vertical="center"/>
    </xf>
    <xf numFmtId="0" fontId="21" fillId="0" borderId="10" xfId="0" applyFont="1" applyBorder="1" applyAlignment="1">
      <alignment vertical="center"/>
    </xf>
    <xf numFmtId="166" fontId="21" fillId="0" borderId="10" xfId="0" applyNumberFormat="1" applyFont="1" applyBorder="1" applyAlignment="1">
      <alignment vertical="center"/>
    </xf>
    <xf numFmtId="2" fontId="21" fillId="0" borderId="12" xfId="0" applyNumberFormat="1" applyFont="1" applyFill="1" applyBorder="1" applyAlignment="1">
      <alignment vertical="center" wrapText="1"/>
    </xf>
    <xf numFmtId="164" fontId="21" fillId="0" borderId="12" xfId="0" applyNumberFormat="1" applyFont="1" applyBorder="1" applyAlignment="1">
      <alignment vertical="center"/>
    </xf>
    <xf numFmtId="2" fontId="21" fillId="0" borderId="7" xfId="0" applyNumberFormat="1" applyFont="1" applyBorder="1" applyAlignment="1">
      <alignment horizontal="center" vertical="center"/>
    </xf>
    <xf numFmtId="2" fontId="21" fillId="0" borderId="7" xfId="0" applyNumberFormat="1" applyFont="1" applyFill="1" applyBorder="1" applyAlignment="1">
      <alignment vertical="center" wrapText="1"/>
    </xf>
    <xf numFmtId="164" fontId="21" fillId="0" borderId="7" xfId="0" applyNumberFormat="1" applyFont="1" applyBorder="1" applyAlignment="1">
      <alignment vertical="center"/>
    </xf>
    <xf numFmtId="0" fontId="21" fillId="0" borderId="7" xfId="0" applyFont="1" applyBorder="1" applyAlignment="1">
      <alignment vertical="center"/>
    </xf>
    <xf numFmtId="166" fontId="21" fillId="0" borderId="7" xfId="0" applyNumberFormat="1" applyFont="1" applyBorder="1" applyAlignment="1">
      <alignment vertical="center"/>
    </xf>
    <xf numFmtId="2" fontId="21" fillId="0" borderId="10" xfId="0" applyNumberFormat="1" applyFont="1" applyFill="1" applyBorder="1" applyAlignment="1">
      <alignment vertical="center" wrapText="1"/>
    </xf>
    <xf numFmtId="2" fontId="21" fillId="0" borderId="11" xfId="0" applyNumberFormat="1" applyFont="1" applyBorder="1" applyAlignment="1">
      <alignment horizontal="center" vertical="center"/>
    </xf>
    <xf numFmtId="2" fontId="21" fillId="0" borderId="11" xfId="0" applyNumberFormat="1" applyFont="1" applyFill="1" applyBorder="1" applyAlignment="1">
      <alignment vertical="center" wrapText="1"/>
    </xf>
    <xf numFmtId="164" fontId="21" fillId="0" borderId="11" xfId="0" applyNumberFormat="1" applyFont="1" applyBorder="1" applyAlignment="1">
      <alignment vertical="center"/>
    </xf>
    <xf numFmtId="0" fontId="21" fillId="0" borderId="11" xfId="0" applyFont="1" applyBorder="1" applyAlignment="1">
      <alignment vertical="center"/>
    </xf>
    <xf numFmtId="166" fontId="21" fillId="0" borderId="11" xfId="0" applyNumberFormat="1" applyFont="1" applyBorder="1" applyAlignment="1">
      <alignment vertical="center"/>
    </xf>
    <xf numFmtId="2" fontId="21" fillId="0" borderId="0" xfId="0" applyNumberFormat="1" applyFont="1" applyBorder="1" applyAlignment="1">
      <alignment horizontal="center" vertical="center"/>
    </xf>
    <xf numFmtId="2" fontId="21" fillId="0" borderId="0" xfId="0" applyNumberFormat="1" applyFont="1" applyFill="1" applyBorder="1" applyAlignment="1">
      <alignment horizontal="center" vertical="center" wrapText="1"/>
    </xf>
    <xf numFmtId="164" fontId="21" fillId="0" borderId="0" xfId="0" applyNumberFormat="1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0" xfId="0" applyFont="1"/>
    <xf numFmtId="166" fontId="21" fillId="5" borderId="16" xfId="0" applyNumberFormat="1" applyFont="1" applyFill="1" applyBorder="1" applyAlignment="1">
      <alignment horizontal="center" vertical="center"/>
    </xf>
    <xf numFmtId="166" fontId="21" fillId="5" borderId="17" xfId="0" applyNumberFormat="1" applyFont="1" applyFill="1" applyBorder="1" applyAlignment="1">
      <alignment horizontal="center" vertical="center"/>
    </xf>
    <xf numFmtId="166" fontId="21" fillId="0" borderId="17" xfId="0" applyNumberFormat="1" applyFont="1" applyBorder="1" applyAlignment="1">
      <alignment horizontal="center" vertical="center"/>
    </xf>
    <xf numFmtId="166" fontId="21" fillId="5" borderId="18" xfId="0" applyNumberFormat="1" applyFont="1" applyFill="1" applyBorder="1" applyAlignment="1">
      <alignment horizontal="center"/>
    </xf>
    <xf numFmtId="167" fontId="21" fillId="0" borderId="12" xfId="0" applyNumberFormat="1" applyFont="1" applyBorder="1" applyAlignment="1">
      <alignment horizontal="center" vertical="center"/>
    </xf>
    <xf numFmtId="167" fontId="21" fillId="0" borderId="10" xfId="0" applyNumberFormat="1" applyFont="1" applyBorder="1" applyAlignment="1">
      <alignment horizontal="center" vertical="center"/>
    </xf>
    <xf numFmtId="167" fontId="21" fillId="5" borderId="18" xfId="0" applyNumberFormat="1" applyFont="1" applyFill="1" applyBorder="1" applyAlignment="1">
      <alignment horizontal="center" vertical="center"/>
    </xf>
    <xf numFmtId="0" fontId="21" fillId="0" borderId="0" xfId="0" applyFont="1" applyFill="1"/>
    <xf numFmtId="167" fontId="21" fillId="0" borderId="7" xfId="0" applyNumberFormat="1" applyFont="1" applyBorder="1" applyAlignment="1">
      <alignment horizontal="center" vertical="center"/>
    </xf>
    <xf numFmtId="167" fontId="21" fillId="0" borderId="11" xfId="0" applyNumberFormat="1" applyFont="1" applyBorder="1" applyAlignment="1">
      <alignment horizontal="center" vertical="center"/>
    </xf>
    <xf numFmtId="166" fontId="21" fillId="0" borderId="0" xfId="0" applyNumberFormat="1" applyFont="1" applyBorder="1" applyAlignment="1">
      <alignment horizontal="center" vertical="center"/>
    </xf>
    <xf numFmtId="167" fontId="21" fillId="0" borderId="0" xfId="0" applyNumberFormat="1" applyFont="1" applyBorder="1" applyAlignment="1">
      <alignment horizontal="center" vertical="center"/>
    </xf>
    <xf numFmtId="0" fontId="21" fillId="0" borderId="0" xfId="0" applyFont="1" applyBorder="1"/>
    <xf numFmtId="165" fontId="21" fillId="5" borderId="21" xfId="0" applyNumberFormat="1" applyFont="1" applyFill="1" applyBorder="1"/>
    <xf numFmtId="0" fontId="21" fillId="5" borderId="22" xfId="0" applyFont="1" applyFill="1" applyBorder="1"/>
    <xf numFmtId="165" fontId="21" fillId="5" borderId="23" xfId="0" applyNumberFormat="1" applyFont="1" applyFill="1" applyBorder="1"/>
    <xf numFmtId="14" fontId="21" fillId="5" borderId="30" xfId="0" applyNumberFormat="1" applyFont="1" applyFill="1" applyBorder="1"/>
    <xf numFmtId="4" fontId="21" fillId="5" borderId="31" xfId="0" applyNumberFormat="1" applyFont="1" applyFill="1" applyBorder="1" applyAlignment="1">
      <alignment horizontal="center"/>
    </xf>
    <xf numFmtId="166" fontId="21" fillId="5" borderId="28" xfId="0" applyNumberFormat="1" applyFont="1" applyFill="1" applyBorder="1" applyAlignment="1">
      <alignment horizontal="center"/>
    </xf>
    <xf numFmtId="0" fontId="21" fillId="5" borderId="32" xfId="0" applyFont="1" applyFill="1" applyBorder="1"/>
    <xf numFmtId="0" fontId="21" fillId="0" borderId="0" xfId="0" applyFont="1" applyAlignment="1">
      <alignment horizontal="center"/>
    </xf>
    <xf numFmtId="0" fontId="22" fillId="0" borderId="0" xfId="0" applyFont="1"/>
    <xf numFmtId="0" fontId="22" fillId="0" borderId="34" xfId="0" applyFont="1" applyBorder="1" applyAlignment="1">
      <alignment horizontal="center"/>
    </xf>
    <xf numFmtId="0" fontId="22" fillId="0" borderId="34" xfId="0" applyFont="1" applyFill="1" applyBorder="1" applyAlignment="1">
      <alignment horizontal="center"/>
    </xf>
    <xf numFmtId="0" fontId="22" fillId="0" borderId="35" xfId="0" applyFont="1" applyFill="1" applyBorder="1" applyAlignment="1">
      <alignment horizontal="center" wrapText="1"/>
    </xf>
    <xf numFmtId="0" fontId="22" fillId="0" borderId="37" xfId="0" applyFont="1" applyBorder="1" applyAlignment="1">
      <alignment horizontal="center"/>
    </xf>
    <xf numFmtId="0" fontId="22" fillId="0" borderId="37" xfId="0" applyFont="1" applyFill="1" applyBorder="1" applyAlignment="1">
      <alignment horizontal="center"/>
    </xf>
    <xf numFmtId="0" fontId="22" fillId="0" borderId="38" xfId="0" applyFont="1" applyFill="1" applyBorder="1" applyAlignment="1">
      <alignment horizontal="center" wrapText="1"/>
    </xf>
    <xf numFmtId="0" fontId="21" fillId="0" borderId="12" xfId="0" applyFont="1" applyBorder="1" applyAlignment="1">
      <alignment horizontal="center" vertical="center"/>
    </xf>
    <xf numFmtId="0" fontId="21" fillId="0" borderId="10" xfId="0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9" fillId="0" borderId="11" xfId="0" applyFont="1" applyBorder="1" applyAlignment="1">
      <alignment horizontal="right" vertical="top"/>
    </xf>
    <xf numFmtId="2" fontId="9" fillId="7" borderId="7" xfId="0" applyNumberFormat="1" applyFont="1" applyFill="1" applyBorder="1" applyAlignment="1">
      <alignment vertical="top" wrapText="1"/>
    </xf>
    <xf numFmtId="166" fontId="21" fillId="6" borderId="12" xfId="0" applyNumberFormat="1" applyFont="1" applyFill="1" applyBorder="1" applyAlignment="1">
      <alignment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/>
    </xf>
    <xf numFmtId="0" fontId="8" fillId="0" borderId="13" xfId="0" applyFont="1" applyBorder="1" applyAlignment="1">
      <alignment horizontal="right"/>
    </xf>
    <xf numFmtId="164" fontId="8" fillId="0" borderId="8" xfId="0" applyNumberFormat="1" applyFont="1" applyBorder="1"/>
    <xf numFmtId="0" fontId="8" fillId="0" borderId="10" xfId="0" applyFont="1" applyBorder="1"/>
    <xf numFmtId="164" fontId="8" fillId="0" borderId="4" xfId="1" applyFont="1" applyBorder="1"/>
    <xf numFmtId="43" fontId="8" fillId="0" borderId="2" xfId="0" applyNumberFormat="1" applyFont="1" applyBorder="1"/>
    <xf numFmtId="43" fontId="0" fillId="0" borderId="0" xfId="0" applyNumberFormat="1"/>
    <xf numFmtId="0" fontId="8" fillId="0" borderId="10" xfId="0" applyFont="1" applyBorder="1" applyAlignment="1">
      <alignment horizontal="center"/>
    </xf>
    <xf numFmtId="0" fontId="22" fillId="0" borderId="7" xfId="0" applyFont="1" applyBorder="1" applyAlignment="1">
      <alignment horizontal="center"/>
    </xf>
    <xf numFmtId="0" fontId="22" fillId="0" borderId="7" xfId="0" applyFont="1" applyBorder="1" applyAlignment="1">
      <alignment horizontal="center" wrapText="1"/>
    </xf>
    <xf numFmtId="1" fontId="0" fillId="0" borderId="7" xfId="0" applyNumberFormat="1" applyBorder="1"/>
    <xf numFmtId="169" fontId="0" fillId="0" borderId="7" xfId="0" applyNumberFormat="1" applyBorder="1"/>
    <xf numFmtId="169" fontId="23" fillId="0" borderId="40" xfId="0" applyNumberFormat="1" applyFont="1" applyBorder="1"/>
    <xf numFmtId="0" fontId="22" fillId="0" borderId="46" xfId="0" applyFont="1" applyBorder="1" applyAlignment="1">
      <alignment horizontal="left"/>
    </xf>
    <xf numFmtId="0" fontId="22" fillId="0" borderId="22" xfId="0" applyFont="1" applyFill="1" applyBorder="1" applyAlignment="1">
      <alignment horizontal="center"/>
    </xf>
    <xf numFmtId="0" fontId="0" fillId="0" borderId="46" xfId="0" applyBorder="1"/>
    <xf numFmtId="169" fontId="0" fillId="0" borderId="22" xfId="0" applyNumberFormat="1" applyBorder="1"/>
    <xf numFmtId="0" fontId="0" fillId="0" borderId="47" xfId="0" applyBorder="1"/>
    <xf numFmtId="0" fontId="0" fillId="0" borderId="48" xfId="0" applyBorder="1"/>
    <xf numFmtId="169" fontId="0" fillId="0" borderId="48" xfId="0" applyNumberFormat="1" applyBorder="1"/>
    <xf numFmtId="169" fontId="0" fillId="0" borderId="23" xfId="0" applyNumberFormat="1" applyBorder="1"/>
    <xf numFmtId="0" fontId="1" fillId="0" borderId="0" xfId="2" applyAlignment="1">
      <alignment horizontal="center"/>
    </xf>
    <xf numFmtId="0" fontId="8" fillId="0" borderId="6" xfId="0" applyFont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0" borderId="3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164" fontId="9" fillId="0" borderId="6" xfId="1" applyFont="1" applyBorder="1" applyAlignment="1">
      <alignment horizontal="center"/>
    </xf>
    <xf numFmtId="164" fontId="9" fillId="0" borderId="13" xfId="1" applyFont="1" applyBorder="1" applyAlignment="1">
      <alignment horizontal="center"/>
    </xf>
    <xf numFmtId="164" fontId="9" fillId="0" borderId="8" xfId="1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9" fillId="0" borderId="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8" fillId="0" borderId="6" xfId="0" applyFont="1" applyBorder="1" applyAlignment="1">
      <alignment horizontal="left"/>
    </xf>
    <xf numFmtId="0" fontId="8" fillId="0" borderId="8" xfId="0" applyFont="1" applyBorder="1" applyAlignment="1">
      <alignment horizontal="left"/>
    </xf>
    <xf numFmtId="0" fontId="17" fillId="0" borderId="3" xfId="0" applyFont="1" applyFill="1" applyBorder="1" applyAlignment="1">
      <alignment horizontal="left"/>
    </xf>
    <xf numFmtId="0" fontId="17" fillId="0" borderId="4" xfId="0" applyFont="1" applyFill="1" applyBorder="1" applyAlignment="1">
      <alignment horizontal="left"/>
    </xf>
    <xf numFmtId="0" fontId="8" fillId="0" borderId="5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17" fillId="0" borderId="5" xfId="0" applyFont="1" applyFill="1" applyBorder="1" applyAlignment="1">
      <alignment horizontal="left"/>
    </xf>
    <xf numFmtId="0" fontId="17" fillId="0" borderId="9" xfId="0" applyFont="1" applyFill="1" applyBorder="1" applyAlignment="1">
      <alignment horizontal="left"/>
    </xf>
    <xf numFmtId="0" fontId="16" fillId="0" borderId="13" xfId="0" applyFont="1" applyFill="1" applyBorder="1" applyAlignment="1">
      <alignment horizontal="center"/>
    </xf>
    <xf numFmtId="0" fontId="16" fillId="0" borderId="6" xfId="0" applyFont="1" applyFill="1" applyBorder="1" applyAlignment="1">
      <alignment horizontal="center"/>
    </xf>
    <xf numFmtId="0" fontId="16" fillId="0" borderId="8" xfId="0" applyFont="1" applyFill="1" applyBorder="1" applyAlignment="1">
      <alignment horizontal="center"/>
    </xf>
    <xf numFmtId="0" fontId="17" fillId="0" borderId="6" xfId="0" applyFont="1" applyFill="1" applyBorder="1" applyAlignment="1">
      <alignment horizontal="left"/>
    </xf>
    <xf numFmtId="0" fontId="17" fillId="0" borderId="8" xfId="0" applyFont="1" applyFill="1" applyBorder="1" applyAlignment="1">
      <alignment horizontal="left"/>
    </xf>
    <xf numFmtId="0" fontId="17" fillId="0" borderId="1" xfId="0" applyFont="1" applyFill="1" applyBorder="1" applyAlignment="1">
      <alignment horizontal="left"/>
    </xf>
    <xf numFmtId="0" fontId="17" fillId="0" borderId="2" xfId="0" applyFont="1" applyFill="1" applyBorder="1" applyAlignment="1">
      <alignment horizontal="left"/>
    </xf>
    <xf numFmtId="164" fontId="16" fillId="0" borderId="6" xfId="1" applyFont="1" applyFill="1" applyBorder="1" applyAlignment="1">
      <alignment horizontal="center"/>
    </xf>
    <xf numFmtId="164" fontId="16" fillId="0" borderId="13" xfId="1" applyFont="1" applyFill="1" applyBorder="1" applyAlignment="1">
      <alignment horizontal="center"/>
    </xf>
    <xf numFmtId="164" fontId="16" fillId="0" borderId="8" xfId="1" applyFont="1" applyFill="1" applyBorder="1" applyAlignment="1">
      <alignment horizontal="center"/>
    </xf>
    <xf numFmtId="0" fontId="17" fillId="0" borderId="6" xfId="0" applyFont="1" applyFill="1" applyBorder="1" applyAlignment="1">
      <alignment horizontal="right"/>
    </xf>
    <xf numFmtId="0" fontId="17" fillId="0" borderId="8" xfId="0" applyFont="1" applyFill="1" applyBorder="1" applyAlignment="1">
      <alignment horizontal="right"/>
    </xf>
    <xf numFmtId="0" fontId="16" fillId="0" borderId="6" xfId="0" applyFont="1" applyFill="1" applyBorder="1" applyAlignment="1">
      <alignment horizontal="center" vertical="center"/>
    </xf>
    <xf numFmtId="0" fontId="16" fillId="0" borderId="8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9" fillId="0" borderId="3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24" fillId="0" borderId="43" xfId="0" applyFont="1" applyFill="1" applyBorder="1" applyAlignment="1">
      <alignment horizontal="center"/>
    </xf>
    <xf numFmtId="0" fontId="24" fillId="0" borderId="45" xfId="0" applyFont="1" applyFill="1" applyBorder="1" applyAlignment="1">
      <alignment horizontal="center"/>
    </xf>
    <xf numFmtId="0" fontId="23" fillId="0" borderId="39" xfId="0" applyFont="1" applyBorder="1" applyAlignment="1">
      <alignment horizontal="center"/>
    </xf>
    <xf numFmtId="0" fontId="23" fillId="0" borderId="27" xfId="0" applyFont="1" applyBorder="1" applyAlignment="1">
      <alignment horizontal="center"/>
    </xf>
    <xf numFmtId="0" fontId="24" fillId="0" borderId="41" xfId="0" applyFont="1" applyBorder="1" applyAlignment="1">
      <alignment horizontal="center"/>
    </xf>
    <xf numFmtId="0" fontId="24" fillId="0" borderId="44" xfId="0" applyFont="1" applyBorder="1" applyAlignment="1">
      <alignment horizontal="center"/>
    </xf>
    <xf numFmtId="0" fontId="24" fillId="0" borderId="42" xfId="0" applyFont="1" applyBorder="1" applyAlignment="1">
      <alignment horizontal="center"/>
    </xf>
    <xf numFmtId="0" fontId="24" fillId="0" borderId="11" xfId="0" applyFont="1" applyBorder="1" applyAlignment="1">
      <alignment horizontal="center"/>
    </xf>
    <xf numFmtId="0" fontId="24" fillId="0" borderId="42" xfId="0" applyFont="1" applyBorder="1" applyAlignment="1">
      <alignment horizontal="center" wrapText="1"/>
    </xf>
    <xf numFmtId="0" fontId="24" fillId="0" borderId="11" xfId="0" applyFont="1" applyBorder="1" applyAlignment="1">
      <alignment horizontal="center" wrapText="1"/>
    </xf>
    <xf numFmtId="0" fontId="21" fillId="5" borderId="0" xfId="0" applyFont="1" applyFill="1" applyBorder="1" applyAlignment="1">
      <alignment horizontal="center"/>
    </xf>
    <xf numFmtId="0" fontId="21" fillId="5" borderId="4" xfId="0" applyFont="1" applyFill="1" applyBorder="1" applyAlignment="1">
      <alignment horizontal="center"/>
    </xf>
    <xf numFmtId="0" fontId="22" fillId="0" borderId="34" xfId="0" applyFont="1" applyBorder="1" applyAlignment="1">
      <alignment horizontal="center"/>
    </xf>
    <xf numFmtId="0" fontId="22" fillId="0" borderId="37" xfId="0" applyFont="1" applyBorder="1" applyAlignment="1">
      <alignment horizontal="center"/>
    </xf>
    <xf numFmtId="0" fontId="21" fillId="5" borderId="19" xfId="0" applyFont="1" applyFill="1" applyBorder="1" applyAlignment="1"/>
    <xf numFmtId="0" fontId="21" fillId="5" borderId="15" xfId="0" applyFont="1" applyFill="1" applyBorder="1" applyAlignment="1"/>
    <xf numFmtId="0" fontId="21" fillId="5" borderId="20" xfId="0" applyFont="1" applyFill="1" applyBorder="1" applyAlignment="1"/>
    <xf numFmtId="0" fontId="21" fillId="5" borderId="25" xfId="0" applyFont="1" applyFill="1" applyBorder="1" applyAlignment="1"/>
    <xf numFmtId="0" fontId="21" fillId="5" borderId="27" xfId="0" applyFont="1" applyFill="1" applyBorder="1" applyAlignment="1"/>
    <xf numFmtId="0" fontId="21" fillId="5" borderId="24" xfId="0" applyFont="1" applyFill="1" applyBorder="1" applyAlignment="1"/>
    <xf numFmtId="0" fontId="20" fillId="5" borderId="29" xfId="0" applyFont="1" applyFill="1" applyBorder="1" applyAlignment="1">
      <alignment horizontal="center" vertical="center"/>
    </xf>
    <xf numFmtId="0" fontId="20" fillId="5" borderId="26" xfId="0" applyFont="1" applyFill="1" applyBorder="1" applyAlignment="1">
      <alignment horizontal="center" vertical="center"/>
    </xf>
    <xf numFmtId="0" fontId="22" fillId="0" borderId="33" xfId="0" applyFont="1" applyBorder="1" applyAlignment="1">
      <alignment horizontal="center"/>
    </xf>
    <xf numFmtId="0" fontId="22" fillId="0" borderId="36" xfId="0" applyFont="1" applyBorder="1" applyAlignment="1">
      <alignment horizontal="center"/>
    </xf>
    <xf numFmtId="0" fontId="22" fillId="0" borderId="34" xfId="0" applyFont="1" applyFill="1" applyBorder="1" applyAlignment="1">
      <alignment horizontal="center"/>
    </xf>
    <xf numFmtId="0" fontId="22" fillId="0" borderId="37" xfId="0" applyFont="1" applyFill="1" applyBorder="1" applyAlignment="1">
      <alignment horizontal="center"/>
    </xf>
  </cellXfs>
  <cellStyles count="3">
    <cellStyle name="Millares" xfId="1" builtinId="3"/>
    <cellStyle name="Normal" xfId="0" builtinId="0"/>
    <cellStyle name="Normal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2"/>
  <sheetViews>
    <sheetView topLeftCell="A40" workbookViewId="0">
      <selection activeCell="B44" sqref="B44"/>
    </sheetView>
  </sheetViews>
  <sheetFormatPr baseColWidth="10" defaultColWidth="11.42578125" defaultRowHeight="15" x14ac:dyDescent="0.25"/>
  <cols>
    <col min="1" max="1" width="20.85546875" customWidth="1"/>
    <col min="6" max="6" width="27.28515625" customWidth="1"/>
  </cols>
  <sheetData>
    <row r="2" spans="1:9" x14ac:dyDescent="0.25">
      <c r="A2" s="233" t="s">
        <v>19</v>
      </c>
      <c r="B2" s="233"/>
      <c r="C2" s="233"/>
      <c r="D2" s="233"/>
      <c r="E2" s="233"/>
      <c r="F2" s="1" t="s">
        <v>20</v>
      </c>
      <c r="G2" s="14">
        <v>125</v>
      </c>
      <c r="H2" s="1"/>
      <c r="I2" s="1"/>
    </row>
    <row r="3" spans="1:9" x14ac:dyDescent="0.25">
      <c r="A3" s="13"/>
      <c r="B3" s="233" t="s">
        <v>21</v>
      </c>
      <c r="C3" s="233"/>
      <c r="D3" s="15">
        <v>500</v>
      </c>
      <c r="E3" s="13"/>
      <c r="F3" s="1" t="s">
        <v>22</v>
      </c>
      <c r="G3" s="14">
        <v>500</v>
      </c>
      <c r="H3" s="1"/>
      <c r="I3" s="1"/>
    </row>
    <row r="4" spans="1:9" x14ac:dyDescent="0.25">
      <c r="A4" s="13"/>
      <c r="B4" s="13"/>
      <c r="C4" s="13"/>
      <c r="D4" s="13"/>
      <c r="E4" s="13"/>
      <c r="F4" s="1"/>
      <c r="G4" s="1"/>
      <c r="H4" s="1"/>
      <c r="I4" s="1"/>
    </row>
    <row r="6" spans="1:9" x14ac:dyDescent="0.25">
      <c r="A6" s="3" t="s">
        <v>23</v>
      </c>
      <c r="B6" s="4" t="s">
        <v>24</v>
      </c>
      <c r="C6" s="4" t="s">
        <v>25</v>
      </c>
      <c r="D6" s="10" t="s">
        <v>26</v>
      </c>
      <c r="E6" s="1"/>
      <c r="F6" s="13" t="s">
        <v>23</v>
      </c>
      <c r="G6" s="16" t="s">
        <v>24</v>
      </c>
      <c r="H6" s="16" t="s">
        <v>27</v>
      </c>
      <c r="I6" s="16" t="s">
        <v>26</v>
      </c>
    </row>
    <row r="7" spans="1:9" x14ac:dyDescent="0.25">
      <c r="A7" s="9" t="s">
        <v>28</v>
      </c>
      <c r="B7" s="12">
        <v>385</v>
      </c>
      <c r="C7" s="12">
        <f>+G2*14</f>
        <v>1750</v>
      </c>
      <c r="D7" s="11">
        <v>4200</v>
      </c>
      <c r="E7" s="19" t="s">
        <v>103</v>
      </c>
      <c r="F7" s="1"/>
      <c r="G7" s="1"/>
      <c r="H7" s="1"/>
      <c r="I7" s="1"/>
    </row>
    <row r="8" spans="1:9" x14ac:dyDescent="0.25">
      <c r="A8" s="5" t="s">
        <v>29</v>
      </c>
      <c r="B8" s="6">
        <f>+B7/E8</f>
        <v>13.09969377339231</v>
      </c>
      <c r="C8" s="6">
        <f>+(C7/200)/E8</f>
        <v>0.29772031303164342</v>
      </c>
      <c r="D8" s="6">
        <v>0.25597269624573377</v>
      </c>
      <c r="E8" s="2">
        <v>29.39</v>
      </c>
      <c r="F8" s="5" t="s">
        <v>30</v>
      </c>
      <c r="G8" s="2">
        <v>78</v>
      </c>
      <c r="H8" s="1"/>
      <c r="I8" s="1"/>
    </row>
    <row r="9" spans="1:9" x14ac:dyDescent="0.25">
      <c r="A9" s="5" t="s">
        <v>31</v>
      </c>
      <c r="B9" s="6">
        <f>+B7/E9</f>
        <v>28.94736842105263</v>
      </c>
      <c r="C9" s="6">
        <f>+(C7/200)/E9</f>
        <v>0.6578947368421052</v>
      </c>
      <c r="D9" s="6">
        <v>6.3157894736842106</v>
      </c>
      <c r="E9" s="20">
        <v>13.3</v>
      </c>
      <c r="F9" s="5" t="s">
        <v>32</v>
      </c>
      <c r="G9" s="2">
        <v>110</v>
      </c>
      <c r="H9" s="1"/>
      <c r="I9" s="1"/>
    </row>
    <row r="10" spans="1:9" x14ac:dyDescent="0.25">
      <c r="A10" s="5" t="s">
        <v>33</v>
      </c>
      <c r="B10" s="6">
        <f>+B7/E10</f>
        <v>51.401869158878505</v>
      </c>
      <c r="C10" s="6">
        <f>+(C7/200)/E10</f>
        <v>1.1682242990654206</v>
      </c>
      <c r="D10" s="6">
        <v>1.0053619302949062</v>
      </c>
      <c r="E10" s="20">
        <v>7.49</v>
      </c>
      <c r="F10" s="5" t="s">
        <v>34</v>
      </c>
      <c r="G10" s="2">
        <v>195</v>
      </c>
      <c r="H10" s="1"/>
      <c r="I10" s="1"/>
    </row>
    <row r="11" spans="1:9" x14ac:dyDescent="0.25">
      <c r="A11" s="5" t="s">
        <v>35</v>
      </c>
      <c r="B11" s="6">
        <f>+B7/E11</f>
        <v>80.375782881002081</v>
      </c>
      <c r="C11" s="6">
        <f>+(C7/200)/E11</f>
        <v>1.826722338204593</v>
      </c>
      <c r="D11" s="6">
        <v>1.5657620041753653</v>
      </c>
      <c r="E11" s="20">
        <v>4.79</v>
      </c>
      <c r="F11" s="5" t="s">
        <v>36</v>
      </c>
      <c r="G11" s="2">
        <v>90</v>
      </c>
      <c r="H11" s="1"/>
      <c r="I11" s="1"/>
    </row>
    <row r="12" spans="1:9" x14ac:dyDescent="0.25">
      <c r="A12" s="5" t="s">
        <v>37</v>
      </c>
      <c r="B12" s="6">
        <f>+B7/E12</f>
        <v>115.61561561561561</v>
      </c>
      <c r="C12" s="6">
        <f>+(C7/200)/E12</f>
        <v>2.6276276276276276</v>
      </c>
      <c r="D12" s="6">
        <v>2.2522522522522523</v>
      </c>
      <c r="E12" s="2">
        <v>3.33</v>
      </c>
      <c r="F12" s="5" t="s">
        <v>38</v>
      </c>
      <c r="G12" s="2">
        <v>90</v>
      </c>
      <c r="H12" s="1"/>
      <c r="I12" s="1"/>
    </row>
    <row r="13" spans="1:9" x14ac:dyDescent="0.25">
      <c r="A13" s="5" t="s">
        <v>39</v>
      </c>
      <c r="B13" s="6">
        <f>+B7/E13</f>
        <v>157.14285714285714</v>
      </c>
      <c r="C13" s="6">
        <f>+(C7/200)/E13</f>
        <v>3.5714285714285712</v>
      </c>
      <c r="D13" s="6">
        <v>3.0612244897959182</v>
      </c>
      <c r="E13" s="2">
        <v>2.4500000000000002</v>
      </c>
      <c r="F13" s="5" t="s">
        <v>40</v>
      </c>
      <c r="G13" s="2">
        <v>27</v>
      </c>
      <c r="H13" s="1"/>
      <c r="I13" s="1"/>
    </row>
    <row r="14" spans="1:9" x14ac:dyDescent="0.25">
      <c r="A14" s="5" t="s">
        <v>41</v>
      </c>
      <c r="B14" s="6">
        <f>+B7/E14</f>
        <v>205.88235294117646</v>
      </c>
      <c r="C14" s="6">
        <f>+(C7/200)/E14</f>
        <v>4.6791443850267376</v>
      </c>
      <c r="D14" s="6">
        <v>4.213483146067416</v>
      </c>
      <c r="E14" s="2">
        <v>1.87</v>
      </c>
      <c r="F14" s="5" t="s">
        <v>42</v>
      </c>
      <c r="G14" s="2">
        <v>45</v>
      </c>
      <c r="H14" s="1"/>
      <c r="I14" s="1"/>
    </row>
    <row r="15" spans="1:9" x14ac:dyDescent="0.25">
      <c r="A15" s="5" t="s">
        <v>43</v>
      </c>
      <c r="B15" s="6">
        <f>+B7/E15</f>
        <v>260.13513513513516</v>
      </c>
      <c r="C15" s="6">
        <f>+(C7/200)/E15</f>
        <v>5.9121621621621623</v>
      </c>
      <c r="D15" s="6">
        <v>5.0675675675675675</v>
      </c>
      <c r="E15" s="2">
        <v>1.48</v>
      </c>
      <c r="F15" s="5" t="s">
        <v>44</v>
      </c>
      <c r="G15" s="2">
        <v>42</v>
      </c>
      <c r="H15" s="1"/>
      <c r="I15" s="1"/>
    </row>
    <row r="16" spans="1:9" x14ac:dyDescent="0.25">
      <c r="A16" s="5" t="s">
        <v>45</v>
      </c>
      <c r="B16" s="6">
        <f>+B7/E16</f>
        <v>320.83333333333337</v>
      </c>
      <c r="C16" s="6">
        <v>2.5</v>
      </c>
      <c r="D16" s="6">
        <v>6.25</v>
      </c>
      <c r="E16" s="2">
        <v>1.2</v>
      </c>
      <c r="F16" s="5" t="s">
        <v>46</v>
      </c>
      <c r="G16" s="2">
        <v>43</v>
      </c>
      <c r="H16" s="1"/>
      <c r="I16" s="1"/>
    </row>
    <row r="17" spans="1:7" x14ac:dyDescent="0.25">
      <c r="A17" s="5" t="s">
        <v>47</v>
      </c>
      <c r="B17" s="6">
        <f>+B7/E17</f>
        <v>388.88888888888891</v>
      </c>
      <c r="C17" s="6">
        <v>3.0303030303030303</v>
      </c>
      <c r="D17" s="6">
        <v>7.5757575757575761</v>
      </c>
      <c r="E17" s="2">
        <v>0.99</v>
      </c>
      <c r="F17" s="5" t="s">
        <v>48</v>
      </c>
      <c r="G17" s="2">
        <v>35</v>
      </c>
    </row>
    <row r="18" spans="1:7" x14ac:dyDescent="0.25">
      <c r="A18" s="9" t="s">
        <v>49</v>
      </c>
      <c r="B18" s="12">
        <v>316</v>
      </c>
      <c r="C18" s="12">
        <v>2600</v>
      </c>
      <c r="D18" s="11">
        <v>4200</v>
      </c>
      <c r="E18" s="1"/>
      <c r="F18" s="5" t="s">
        <v>50</v>
      </c>
      <c r="G18" s="2">
        <v>32</v>
      </c>
    </row>
    <row r="19" spans="1:7" x14ac:dyDescent="0.25">
      <c r="A19" s="5" t="s">
        <v>29</v>
      </c>
      <c r="B19" s="6">
        <v>10.784982935153584</v>
      </c>
      <c r="C19" s="6">
        <v>0.44368600682593856</v>
      </c>
      <c r="D19" s="6">
        <v>0.24714605154760502</v>
      </c>
      <c r="E19" s="1"/>
      <c r="F19" s="5" t="s">
        <v>51</v>
      </c>
      <c r="G19" s="2">
        <v>6</v>
      </c>
    </row>
    <row r="20" spans="1:7" x14ac:dyDescent="0.25">
      <c r="A20" s="5" t="s">
        <v>31</v>
      </c>
      <c r="B20" s="6">
        <v>23.7593984962406</v>
      </c>
      <c r="C20" s="6">
        <v>0.97744360902255634</v>
      </c>
      <c r="D20" s="6">
        <v>0.54446460980036293</v>
      </c>
      <c r="E20" s="1"/>
      <c r="F20" s="5" t="s">
        <v>52</v>
      </c>
      <c r="G20" s="2">
        <v>60</v>
      </c>
    </row>
    <row r="21" spans="1:7" x14ac:dyDescent="0.25">
      <c r="A21" s="5" t="s">
        <v>33</v>
      </c>
      <c r="B21" s="6">
        <v>42.189586114819761</v>
      </c>
      <c r="C21" s="6">
        <v>1.7426273458445041</v>
      </c>
      <c r="D21" s="6">
        <v>0.97069427752611626</v>
      </c>
      <c r="E21" s="1"/>
      <c r="F21" s="1"/>
      <c r="G21" s="1"/>
    </row>
    <row r="22" spans="1:7" x14ac:dyDescent="0.25">
      <c r="A22" s="5" t="s">
        <v>35</v>
      </c>
      <c r="B22" s="6">
        <v>65.970772442588725</v>
      </c>
      <c r="C22" s="6">
        <v>2.7139874739039667</v>
      </c>
      <c r="D22" s="6">
        <v>1.511770210927939</v>
      </c>
      <c r="E22" s="1"/>
      <c r="F22" s="5" t="s">
        <v>53</v>
      </c>
      <c r="G22" s="2">
        <v>1025</v>
      </c>
    </row>
    <row r="23" spans="1:7" x14ac:dyDescent="0.25">
      <c r="A23" s="5" t="s">
        <v>37</v>
      </c>
      <c r="B23" s="6">
        <v>94.89489489489489</v>
      </c>
      <c r="C23" s="6">
        <v>3.9039039039039038</v>
      </c>
      <c r="D23" s="6">
        <v>2.1745883814849329</v>
      </c>
      <c r="E23" s="1"/>
      <c r="F23" s="5" t="s">
        <v>54</v>
      </c>
      <c r="G23" s="2">
        <v>1140</v>
      </c>
    </row>
    <row r="24" spans="1:7" x14ac:dyDescent="0.25">
      <c r="A24" s="5" t="s">
        <v>39</v>
      </c>
      <c r="B24" s="6">
        <v>128.9795918367347</v>
      </c>
      <c r="C24" s="6">
        <v>5.3061224489795915</v>
      </c>
      <c r="D24" s="6">
        <v>2.9556650246305414</v>
      </c>
      <c r="E24" s="1"/>
      <c r="F24" s="5" t="s">
        <v>55</v>
      </c>
      <c r="G24" s="2">
        <v>1230</v>
      </c>
    </row>
    <row r="25" spans="1:7" x14ac:dyDescent="0.25">
      <c r="A25" s="5" t="s">
        <v>41</v>
      </c>
      <c r="B25" s="6">
        <v>168.98395721925132</v>
      </c>
      <c r="C25" s="6">
        <v>7.3033707865168536</v>
      </c>
      <c r="D25" s="6">
        <v>4.213483146067416</v>
      </c>
      <c r="E25" s="1"/>
      <c r="F25" s="5" t="s">
        <v>56</v>
      </c>
      <c r="G25" s="2">
        <v>200</v>
      </c>
    </row>
    <row r="26" spans="1:7" x14ac:dyDescent="0.25">
      <c r="A26" s="5" t="s">
        <v>43</v>
      </c>
      <c r="B26" s="6">
        <v>213.51351351351352</v>
      </c>
      <c r="C26" s="6">
        <v>8.7837837837837842</v>
      </c>
      <c r="D26" s="6">
        <v>5.0675675675675675</v>
      </c>
      <c r="E26" s="1"/>
      <c r="F26" s="1"/>
      <c r="G26" s="1"/>
    </row>
    <row r="27" spans="1:7" x14ac:dyDescent="0.25">
      <c r="A27" s="5" t="s">
        <v>45</v>
      </c>
      <c r="B27" s="6">
        <v>263.33333333333337</v>
      </c>
      <c r="C27" s="6">
        <v>10.833333333333334</v>
      </c>
      <c r="D27" s="6">
        <v>6.25</v>
      </c>
      <c r="E27" s="1"/>
      <c r="F27" s="1"/>
      <c r="G27" s="1"/>
    </row>
    <row r="28" spans="1:7" x14ac:dyDescent="0.25">
      <c r="A28" s="5" t="s">
        <v>47</v>
      </c>
      <c r="B28" s="6">
        <v>319.19191919191917</v>
      </c>
      <c r="C28" s="6">
        <v>13.131313131313131</v>
      </c>
      <c r="D28" s="6">
        <v>7.5757575757575761</v>
      </c>
      <c r="E28" s="1"/>
      <c r="F28" s="1"/>
      <c r="G28" s="1"/>
    </row>
    <row r="29" spans="1:7" x14ac:dyDescent="0.25">
      <c r="A29" s="5" t="s">
        <v>57</v>
      </c>
      <c r="B29" s="6">
        <v>5.5</v>
      </c>
      <c r="C29" s="6"/>
      <c r="D29" s="5"/>
      <c r="E29" s="1"/>
      <c r="F29" s="1"/>
      <c r="G29" s="1"/>
    </row>
    <row r="30" spans="1:7" x14ac:dyDescent="0.25">
      <c r="A30" s="5" t="s">
        <v>58</v>
      </c>
      <c r="B30" s="6">
        <v>5.5</v>
      </c>
      <c r="C30" s="6"/>
      <c r="D30" s="5"/>
      <c r="E30" s="1"/>
      <c r="F30" s="1"/>
      <c r="G30" s="1"/>
    </row>
    <row r="31" spans="1:7" x14ac:dyDescent="0.25">
      <c r="A31" s="5" t="s">
        <v>59</v>
      </c>
      <c r="B31" s="6">
        <v>581.35</v>
      </c>
      <c r="C31" s="6"/>
      <c r="D31" s="5"/>
      <c r="E31" s="1"/>
      <c r="F31" s="1"/>
      <c r="G31" s="1"/>
    </row>
    <row r="32" spans="1:7" x14ac:dyDescent="0.25">
      <c r="A32" s="5" t="s">
        <v>60</v>
      </c>
      <c r="B32" s="6">
        <v>502</v>
      </c>
      <c r="C32" s="6"/>
      <c r="D32" s="5"/>
      <c r="E32" s="1"/>
      <c r="F32" s="1"/>
      <c r="G32" s="1"/>
    </row>
    <row r="33" spans="1:9" x14ac:dyDescent="0.25">
      <c r="A33" s="5" t="s">
        <v>61</v>
      </c>
      <c r="B33" s="6">
        <v>427.25</v>
      </c>
      <c r="C33" s="6"/>
      <c r="D33" s="5"/>
      <c r="E33" s="1"/>
      <c r="F33" s="1"/>
      <c r="G33" s="1"/>
      <c r="H33" s="1"/>
      <c r="I33" s="1"/>
    </row>
    <row r="34" spans="1:9" x14ac:dyDescent="0.25">
      <c r="A34" s="5" t="s">
        <v>62</v>
      </c>
      <c r="B34" s="6">
        <v>395.04</v>
      </c>
      <c r="C34" s="6"/>
      <c r="D34" s="5"/>
      <c r="E34" s="1"/>
      <c r="F34" s="1"/>
      <c r="G34" s="1"/>
      <c r="H34" s="1"/>
      <c r="I34" s="1"/>
    </row>
    <row r="35" spans="1:9" x14ac:dyDescent="0.25">
      <c r="A35" s="5" t="s">
        <v>63</v>
      </c>
      <c r="B35" s="6">
        <v>311</v>
      </c>
      <c r="C35" s="6"/>
      <c r="D35" s="5"/>
      <c r="E35" s="1"/>
      <c r="F35" s="1"/>
      <c r="G35" s="1"/>
      <c r="H35" s="1"/>
      <c r="I35" s="1"/>
    </row>
    <row r="36" spans="1:9" x14ac:dyDescent="0.25">
      <c r="A36" s="5" t="s">
        <v>64</v>
      </c>
      <c r="B36" s="6">
        <v>264.39999999999998</v>
      </c>
      <c r="C36" s="6"/>
      <c r="D36" s="5"/>
      <c r="E36" s="1"/>
      <c r="F36" s="1"/>
      <c r="G36" s="1"/>
      <c r="H36" s="1"/>
      <c r="I36" s="1"/>
    </row>
    <row r="37" spans="1:9" x14ac:dyDescent="0.25">
      <c r="A37" s="5" t="s">
        <v>65</v>
      </c>
      <c r="B37" s="6">
        <v>221.65</v>
      </c>
      <c r="C37" s="6"/>
      <c r="D37" s="5"/>
      <c r="E37" s="1"/>
      <c r="F37" s="1"/>
      <c r="G37" s="1"/>
      <c r="H37" s="1"/>
      <c r="I37" s="1"/>
    </row>
    <row r="38" spans="1:9" x14ac:dyDescent="0.25">
      <c r="A38" s="5" t="s">
        <v>66</v>
      </c>
      <c r="B38" s="6">
        <v>185.6</v>
      </c>
      <c r="C38" s="6"/>
      <c r="D38" s="5"/>
      <c r="E38" s="1"/>
      <c r="F38" s="1"/>
      <c r="G38" s="1"/>
      <c r="H38" s="1"/>
      <c r="I38" s="1"/>
    </row>
    <row r="39" spans="1:9" x14ac:dyDescent="0.25">
      <c r="A39" s="5" t="s">
        <v>67</v>
      </c>
      <c r="B39" s="6">
        <v>153.6</v>
      </c>
      <c r="C39" s="6"/>
      <c r="D39" s="5"/>
      <c r="E39" s="1"/>
      <c r="F39" s="1"/>
      <c r="G39" s="1"/>
      <c r="H39" s="1"/>
      <c r="I39" s="1"/>
    </row>
    <row r="40" spans="1:9" x14ac:dyDescent="0.25">
      <c r="A40" s="5"/>
      <c r="B40" s="5"/>
      <c r="C40" s="6"/>
      <c r="D40" s="5"/>
      <c r="E40" s="1"/>
      <c r="F40" s="1"/>
      <c r="G40" s="1"/>
      <c r="H40" s="1"/>
      <c r="I40" s="1"/>
    </row>
    <row r="41" spans="1:9" x14ac:dyDescent="0.25">
      <c r="A41" s="5"/>
      <c r="B41" s="5"/>
      <c r="C41" s="6"/>
      <c r="D41" s="5"/>
      <c r="E41" s="1"/>
      <c r="F41" s="1"/>
      <c r="G41" s="1"/>
      <c r="H41" s="1"/>
      <c r="I41" s="1"/>
    </row>
    <row r="42" spans="1:9" x14ac:dyDescent="0.25">
      <c r="A42" s="9" t="s">
        <v>68</v>
      </c>
      <c r="B42" s="5"/>
      <c r="C42" s="6"/>
      <c r="D42" s="5"/>
      <c r="E42" s="1"/>
      <c r="F42" s="1"/>
      <c r="G42" s="1"/>
      <c r="H42" s="1">
        <v>3900</v>
      </c>
      <c r="I42" s="1"/>
    </row>
    <row r="43" spans="1:9" ht="15.75" x14ac:dyDescent="0.3">
      <c r="A43" s="5" t="s">
        <v>69</v>
      </c>
      <c r="B43" s="5">
        <v>40</v>
      </c>
      <c r="C43" s="6"/>
      <c r="D43" s="5"/>
      <c r="E43" s="1"/>
      <c r="F43" s="1"/>
      <c r="G43" s="1"/>
      <c r="H43" s="7" t="s">
        <v>27</v>
      </c>
      <c r="I43" s="8" t="s">
        <v>26</v>
      </c>
    </row>
    <row r="44" spans="1:9" x14ac:dyDescent="0.25">
      <c r="A44" s="5" t="s">
        <v>70</v>
      </c>
      <c r="B44" s="5">
        <v>40</v>
      </c>
      <c r="C44" s="5"/>
      <c r="D44" s="5"/>
      <c r="E44" s="1"/>
      <c r="F44" s="5" t="s">
        <v>71</v>
      </c>
      <c r="G44" s="6">
        <v>2</v>
      </c>
      <c r="H44" s="2">
        <f>+H42/1500</f>
        <v>2.6</v>
      </c>
      <c r="I44" s="1"/>
    </row>
    <row r="45" spans="1:9" x14ac:dyDescent="0.25">
      <c r="A45" s="5" t="s">
        <v>72</v>
      </c>
      <c r="B45" s="5">
        <v>0.4</v>
      </c>
      <c r="C45" s="5"/>
      <c r="D45" s="5"/>
      <c r="E45" s="1"/>
      <c r="F45" s="5" t="s">
        <v>73</v>
      </c>
      <c r="G45" s="6">
        <v>2.5499999999999998</v>
      </c>
      <c r="H45" s="2">
        <f>+H42/1100</f>
        <v>3.5454545454545454</v>
      </c>
      <c r="I45" s="1"/>
    </row>
    <row r="46" spans="1:9" x14ac:dyDescent="0.25">
      <c r="A46" s="5"/>
      <c r="B46" s="5"/>
      <c r="C46" s="5"/>
      <c r="D46" s="5"/>
      <c r="E46" s="1"/>
      <c r="F46" s="5" t="s">
        <v>74</v>
      </c>
      <c r="G46" s="6">
        <v>3.3</v>
      </c>
      <c r="H46" s="2">
        <f>+H42/1000</f>
        <v>3.9</v>
      </c>
      <c r="I46" s="1"/>
    </row>
    <row r="47" spans="1:9" x14ac:dyDescent="0.25">
      <c r="A47" s="5"/>
      <c r="B47" s="5"/>
      <c r="C47" s="5"/>
      <c r="D47" s="5"/>
      <c r="E47" s="1"/>
      <c r="F47" s="5" t="s">
        <v>75</v>
      </c>
      <c r="G47" s="6">
        <v>2.95</v>
      </c>
      <c r="H47" s="2">
        <v>0.55555555555555558</v>
      </c>
      <c r="I47" s="1"/>
    </row>
    <row r="48" spans="1:9" x14ac:dyDescent="0.25">
      <c r="A48" s="5"/>
      <c r="B48" s="5"/>
      <c r="C48" s="5"/>
      <c r="D48" s="5"/>
      <c r="E48" s="1"/>
      <c r="F48" s="5" t="s">
        <v>76</v>
      </c>
      <c r="G48" s="6">
        <v>4</v>
      </c>
      <c r="H48" s="2">
        <v>0.625</v>
      </c>
      <c r="I48" s="1"/>
    </row>
    <row r="49" spans="1:8" x14ac:dyDescent="0.25">
      <c r="A49" s="5" t="s">
        <v>77</v>
      </c>
      <c r="B49" s="5"/>
      <c r="C49" s="5"/>
      <c r="D49" s="5"/>
      <c r="E49" s="1"/>
      <c r="F49" s="5" t="s">
        <v>78</v>
      </c>
      <c r="G49" s="6">
        <v>3.05</v>
      </c>
      <c r="H49" s="2">
        <v>0.58823529411764708</v>
      </c>
    </row>
    <row r="50" spans="1:8" x14ac:dyDescent="0.25">
      <c r="A50" s="5" t="s">
        <v>79</v>
      </c>
      <c r="B50" s="5"/>
      <c r="C50" s="5"/>
      <c r="D50" s="5"/>
      <c r="E50" s="1"/>
      <c r="F50" s="5" t="s">
        <v>80</v>
      </c>
      <c r="G50" s="6">
        <v>4.05</v>
      </c>
      <c r="H50" s="2">
        <v>0.625</v>
      </c>
    </row>
    <row r="51" spans="1:8" x14ac:dyDescent="0.25">
      <c r="A51" s="5" t="s">
        <v>81</v>
      </c>
      <c r="B51" s="5"/>
      <c r="C51" s="5"/>
      <c r="D51" s="5"/>
      <c r="E51" s="1"/>
      <c r="F51" s="5" t="s">
        <v>82</v>
      </c>
      <c r="G51" s="6">
        <v>3.2</v>
      </c>
      <c r="H51" s="2">
        <f>+H42/1100</f>
        <v>3.5454545454545454</v>
      </c>
    </row>
    <row r="52" spans="1:8" x14ac:dyDescent="0.25">
      <c r="A52" s="5" t="s">
        <v>83</v>
      </c>
      <c r="B52" s="5"/>
      <c r="C52" s="5"/>
      <c r="D52" s="5"/>
      <c r="E52" s="1"/>
      <c r="F52" s="5" t="s">
        <v>84</v>
      </c>
      <c r="G52" s="6">
        <v>4.2</v>
      </c>
      <c r="H52" s="2">
        <f>+H42/800</f>
        <v>4.875</v>
      </c>
    </row>
    <row r="53" spans="1:8" x14ac:dyDescent="0.25">
      <c r="A53" s="5" t="s">
        <v>85</v>
      </c>
      <c r="B53" s="5"/>
      <c r="C53" s="5"/>
      <c r="D53" s="5"/>
      <c r="E53" s="1"/>
      <c r="F53" s="5" t="s">
        <v>86</v>
      </c>
      <c r="G53" s="6">
        <v>2.1</v>
      </c>
      <c r="H53" s="2">
        <v>0.38461538461538464</v>
      </c>
    </row>
    <row r="54" spans="1:8" x14ac:dyDescent="0.25">
      <c r="A54" s="5" t="s">
        <v>87</v>
      </c>
      <c r="B54" s="5"/>
      <c r="C54" s="5"/>
      <c r="D54" s="5"/>
      <c r="E54" s="1"/>
      <c r="F54" s="5" t="s">
        <v>88</v>
      </c>
      <c r="G54" s="6">
        <v>2.65</v>
      </c>
      <c r="H54" s="2">
        <v>0.58823529411764708</v>
      </c>
    </row>
    <row r="55" spans="1:8" x14ac:dyDescent="0.25">
      <c r="A55" s="5" t="s">
        <v>89</v>
      </c>
      <c r="B55" s="5"/>
      <c r="C55" s="5"/>
      <c r="D55" s="5"/>
      <c r="E55" s="1"/>
      <c r="F55" s="5" t="s">
        <v>90</v>
      </c>
      <c r="G55" s="6">
        <v>3.5</v>
      </c>
      <c r="H55" s="2">
        <v>0.625</v>
      </c>
    </row>
    <row r="56" spans="1:8" x14ac:dyDescent="0.25">
      <c r="A56" s="5"/>
      <c r="B56" s="5"/>
      <c r="C56" s="5"/>
      <c r="D56" s="5"/>
      <c r="E56" s="1"/>
      <c r="F56" s="5" t="s">
        <v>91</v>
      </c>
      <c r="G56" s="6">
        <v>2.35</v>
      </c>
      <c r="H56" s="2">
        <v>0.41666666666666669</v>
      </c>
    </row>
    <row r="57" spans="1:8" x14ac:dyDescent="0.25">
      <c r="A57" s="5"/>
      <c r="B57" s="5"/>
      <c r="C57" s="5"/>
      <c r="D57" s="5"/>
      <c r="E57" s="1"/>
      <c r="F57" s="5" t="s">
        <v>92</v>
      </c>
      <c r="G57" s="6">
        <v>2.75</v>
      </c>
      <c r="H57" s="2">
        <f>+H42/900</f>
        <v>4.333333333333333</v>
      </c>
    </row>
    <row r="58" spans="1:8" x14ac:dyDescent="0.25">
      <c r="A58" s="5"/>
      <c r="B58" s="5"/>
      <c r="C58" s="5"/>
      <c r="D58" s="5"/>
      <c r="E58" s="1"/>
      <c r="F58" s="5" t="s">
        <v>93</v>
      </c>
      <c r="G58" s="6">
        <v>4.25</v>
      </c>
      <c r="H58" s="2">
        <f>+H42/750</f>
        <v>5.2</v>
      </c>
    </row>
    <row r="59" spans="1:8" x14ac:dyDescent="0.25">
      <c r="A59" s="5"/>
      <c r="B59" s="5"/>
      <c r="C59" s="5"/>
      <c r="D59" s="5"/>
      <c r="E59" s="1"/>
      <c r="F59" s="5" t="s">
        <v>94</v>
      </c>
      <c r="G59" s="6">
        <v>3.6</v>
      </c>
      <c r="H59" s="1"/>
    </row>
    <row r="60" spans="1:8" x14ac:dyDescent="0.25">
      <c r="A60" s="5"/>
      <c r="B60" s="5"/>
      <c r="C60" s="5"/>
      <c r="D60" s="5"/>
      <c r="E60" s="1"/>
      <c r="F60" s="1"/>
      <c r="G60" s="1"/>
      <c r="H60" s="1"/>
    </row>
    <row r="61" spans="1:8" x14ac:dyDescent="0.25">
      <c r="A61" s="5"/>
      <c r="B61" s="5"/>
      <c r="C61" s="5"/>
      <c r="D61" s="5"/>
      <c r="E61" s="1"/>
      <c r="F61" s="1"/>
      <c r="G61" s="1"/>
      <c r="H61" s="1"/>
    </row>
    <row r="62" spans="1:8" x14ac:dyDescent="0.25">
      <c r="A62" s="5" t="s">
        <v>95</v>
      </c>
      <c r="B62" s="5"/>
      <c r="C62" s="5"/>
      <c r="D62" s="5"/>
      <c r="E62" s="1"/>
      <c r="F62" s="1"/>
      <c r="G62" s="1"/>
      <c r="H62" s="1"/>
    </row>
  </sheetData>
  <mergeCells count="2">
    <mergeCell ref="A2:E2"/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27"/>
  <sheetViews>
    <sheetView tabSelected="1" showWhiteSpace="0" topLeftCell="A530" zoomScale="85" zoomScaleNormal="85" zoomScaleSheetLayoutView="80" workbookViewId="0">
      <selection activeCell="D289" sqref="D289"/>
    </sheetView>
  </sheetViews>
  <sheetFormatPr baseColWidth="10" defaultColWidth="11.42578125" defaultRowHeight="15" x14ac:dyDescent="0.25"/>
  <cols>
    <col min="1" max="2" width="27" bestFit="1" customWidth="1"/>
    <col min="3" max="3" width="13.85546875" customWidth="1"/>
    <col min="4" max="4" width="15" customWidth="1"/>
    <col min="5" max="5" width="16.28515625" customWidth="1"/>
    <col min="6" max="6" width="17.85546875" customWidth="1"/>
    <col min="7" max="7" width="33" customWidth="1"/>
    <col min="8" max="8" width="22.140625" customWidth="1"/>
  </cols>
  <sheetData>
    <row r="1" spans="1:6" ht="18.75" x14ac:dyDescent="0.3">
      <c r="A1" s="273" t="s">
        <v>104</v>
      </c>
      <c r="B1" s="273"/>
      <c r="C1" s="273"/>
      <c r="D1" s="273"/>
      <c r="E1" s="273"/>
      <c r="F1" s="273"/>
    </row>
    <row r="3" spans="1:6" ht="67.5" customHeight="1" x14ac:dyDescent="0.25">
      <c r="A3" s="45" t="s">
        <v>2</v>
      </c>
      <c r="B3" s="69">
        <v>1</v>
      </c>
      <c r="C3" s="46" t="s">
        <v>3</v>
      </c>
      <c r="D3" s="47" t="s">
        <v>107</v>
      </c>
      <c r="E3" s="48" t="s">
        <v>5</v>
      </c>
      <c r="F3" s="91" t="s">
        <v>228</v>
      </c>
    </row>
    <row r="4" spans="1:6" ht="56.25" customHeight="1" x14ac:dyDescent="0.25">
      <c r="A4" s="49" t="s">
        <v>0</v>
      </c>
      <c r="B4" s="94" t="s">
        <v>127</v>
      </c>
      <c r="C4" s="50" t="s">
        <v>4</v>
      </c>
      <c r="D4" s="85">
        <v>96</v>
      </c>
      <c r="E4" s="51" t="s">
        <v>7</v>
      </c>
      <c r="F4" s="21" t="s">
        <v>227</v>
      </c>
    </row>
    <row r="5" spans="1:6" ht="15.75" x14ac:dyDescent="0.25">
      <c r="A5" s="52" t="s">
        <v>1</v>
      </c>
      <c r="B5" s="70">
        <v>1.1000000000000001</v>
      </c>
      <c r="C5" s="53"/>
      <c r="D5" s="54"/>
      <c r="E5" s="55" t="s">
        <v>6</v>
      </c>
      <c r="F5" s="92">
        <v>42436</v>
      </c>
    </row>
    <row r="6" spans="1:6" ht="15.75" x14ac:dyDescent="0.25">
      <c r="A6" s="57"/>
      <c r="B6" s="57"/>
      <c r="C6" s="57"/>
      <c r="D6" s="57"/>
      <c r="E6" s="57"/>
      <c r="F6" s="57"/>
    </row>
    <row r="7" spans="1:6" ht="28.5" x14ac:dyDescent="0.25">
      <c r="A7" s="243" t="s">
        <v>9</v>
      </c>
      <c r="B7" s="244"/>
      <c r="C7" s="58" t="s">
        <v>10</v>
      </c>
      <c r="D7" s="59" t="s">
        <v>11</v>
      </c>
      <c r="E7" s="60" t="s">
        <v>12</v>
      </c>
      <c r="F7" s="61" t="s">
        <v>13</v>
      </c>
    </row>
    <row r="8" spans="1:6" ht="15.75" x14ac:dyDescent="0.25">
      <c r="A8" s="245" t="s">
        <v>8</v>
      </c>
      <c r="B8" s="246"/>
      <c r="C8" s="22"/>
      <c r="D8" s="22"/>
      <c r="E8" s="22"/>
      <c r="F8" s="22"/>
    </row>
    <row r="9" spans="1:6" ht="15.75" x14ac:dyDescent="0.25">
      <c r="A9" s="247"/>
      <c r="B9" s="248"/>
      <c r="C9" s="23"/>
      <c r="D9" s="24"/>
      <c r="E9" s="25"/>
      <c r="F9" s="23">
        <f t="shared" ref="F9:F16" si="0">+TRUNC(ROUND(E9*C9,2),2)</f>
        <v>0</v>
      </c>
    </row>
    <row r="10" spans="1:6" ht="15.75" x14ac:dyDescent="0.25">
      <c r="A10" s="236"/>
      <c r="B10" s="237"/>
      <c r="C10" s="26"/>
      <c r="D10" s="27"/>
      <c r="E10" s="28"/>
      <c r="F10" s="26">
        <f t="shared" si="0"/>
        <v>0</v>
      </c>
    </row>
    <row r="11" spans="1:6" ht="15.75" x14ac:dyDescent="0.25">
      <c r="A11" s="236"/>
      <c r="B11" s="237"/>
      <c r="C11" s="26"/>
      <c r="D11" s="27"/>
      <c r="E11" s="28"/>
      <c r="F11" s="26">
        <f t="shared" si="0"/>
        <v>0</v>
      </c>
    </row>
    <row r="12" spans="1:6" ht="15.75" x14ac:dyDescent="0.25">
      <c r="A12" s="236"/>
      <c r="B12" s="237"/>
      <c r="C12" s="26"/>
      <c r="D12" s="27"/>
      <c r="E12" s="28"/>
      <c r="F12" s="26">
        <f t="shared" si="0"/>
        <v>0</v>
      </c>
    </row>
    <row r="13" spans="1:6" ht="15.75" x14ac:dyDescent="0.25">
      <c r="A13" s="236"/>
      <c r="B13" s="237"/>
      <c r="C13" s="26"/>
      <c r="D13" s="27"/>
      <c r="E13" s="28"/>
      <c r="F13" s="26">
        <f t="shared" si="0"/>
        <v>0</v>
      </c>
    </row>
    <row r="14" spans="1:6" ht="15.75" x14ac:dyDescent="0.25">
      <c r="A14" s="236"/>
      <c r="B14" s="237"/>
      <c r="C14" s="26"/>
      <c r="D14" s="27"/>
      <c r="E14" s="28"/>
      <c r="F14" s="26">
        <f t="shared" si="0"/>
        <v>0</v>
      </c>
    </row>
    <row r="15" spans="1:6" ht="15.75" x14ac:dyDescent="0.25">
      <c r="A15" s="236"/>
      <c r="B15" s="237"/>
      <c r="C15" s="26"/>
      <c r="D15" s="27"/>
      <c r="E15" s="28"/>
      <c r="F15" s="26">
        <f t="shared" si="0"/>
        <v>0</v>
      </c>
    </row>
    <row r="16" spans="1:6" ht="15.75" x14ac:dyDescent="0.25">
      <c r="A16" s="236"/>
      <c r="B16" s="237"/>
      <c r="C16" s="26"/>
      <c r="D16" s="27"/>
      <c r="E16" s="28"/>
      <c r="F16" s="26">
        <f t="shared" si="0"/>
        <v>0</v>
      </c>
    </row>
    <row r="17" spans="1:8" ht="15.75" x14ac:dyDescent="0.25">
      <c r="A17" s="39"/>
      <c r="B17" s="241" t="s">
        <v>14</v>
      </c>
      <c r="C17" s="241"/>
      <c r="D17" s="241"/>
      <c r="E17" s="62"/>
      <c r="F17" s="41">
        <f>SUM(F9:F16)</f>
        <v>0</v>
      </c>
    </row>
    <row r="18" spans="1:8" ht="15.75" x14ac:dyDescent="0.25">
      <c r="A18" s="249" t="s">
        <v>15</v>
      </c>
      <c r="B18" s="250"/>
      <c r="C18" s="22"/>
      <c r="D18" s="22"/>
      <c r="E18" s="22"/>
      <c r="F18" s="22"/>
    </row>
    <row r="19" spans="1:8" ht="15.75" x14ac:dyDescent="0.25">
      <c r="A19" s="251" t="s">
        <v>147</v>
      </c>
      <c r="B19" s="252"/>
      <c r="C19" s="65">
        <f>+D4</f>
        <v>96</v>
      </c>
      <c r="D19" s="66" t="s">
        <v>148</v>
      </c>
      <c r="E19" s="95">
        <v>10</v>
      </c>
      <c r="F19" s="41">
        <f t="shared" ref="F19:F24" si="1">+TRUNC(ROUND(E19*C19,2),2)</f>
        <v>960</v>
      </c>
    </row>
    <row r="20" spans="1:8" ht="15.75" x14ac:dyDescent="0.25">
      <c r="A20" s="236"/>
      <c r="B20" s="237"/>
      <c r="C20" s="28"/>
      <c r="D20" s="27"/>
      <c r="E20" s="26"/>
      <c r="F20" s="26">
        <f t="shared" si="1"/>
        <v>0</v>
      </c>
    </row>
    <row r="21" spans="1:8" ht="15.75" x14ac:dyDescent="0.25">
      <c r="A21" s="236"/>
      <c r="B21" s="237"/>
      <c r="C21" s="28"/>
      <c r="D21" s="27"/>
      <c r="E21" s="26"/>
      <c r="F21" s="26">
        <f t="shared" si="1"/>
        <v>0</v>
      </c>
    </row>
    <row r="22" spans="1:8" ht="15.75" x14ac:dyDescent="0.25">
      <c r="A22" s="236"/>
      <c r="B22" s="237"/>
      <c r="C22" s="28"/>
      <c r="D22" s="27"/>
      <c r="E22" s="26"/>
      <c r="F22" s="26">
        <f t="shared" si="1"/>
        <v>0</v>
      </c>
    </row>
    <row r="23" spans="1:8" ht="15.75" x14ac:dyDescent="0.25">
      <c r="A23" s="236"/>
      <c r="B23" s="237"/>
      <c r="C23" s="28"/>
      <c r="D23" s="27"/>
      <c r="E23" s="26"/>
      <c r="F23" s="26">
        <f t="shared" si="1"/>
        <v>0</v>
      </c>
    </row>
    <row r="24" spans="1:8" ht="15.75" x14ac:dyDescent="0.25">
      <c r="A24" s="236"/>
      <c r="B24" s="237"/>
      <c r="C24" s="28"/>
      <c r="D24" s="27"/>
      <c r="E24" s="26"/>
      <c r="F24" s="26">
        <f t="shared" si="1"/>
        <v>0</v>
      </c>
    </row>
    <row r="25" spans="1:8" ht="15.75" x14ac:dyDescent="0.25">
      <c r="A25" s="29"/>
      <c r="B25" s="30"/>
      <c r="C25" s="238" t="s">
        <v>96</v>
      </c>
      <c r="D25" s="239"/>
      <c r="E25" s="240"/>
      <c r="F25" s="26">
        <f>SUM(F19:F24)</f>
        <v>960</v>
      </c>
    </row>
    <row r="26" spans="1:8" ht="15.75" x14ac:dyDescent="0.25">
      <c r="A26" s="31"/>
      <c r="B26" s="32" t="s">
        <v>17</v>
      </c>
      <c r="C26" s="33">
        <f>+AYUDANTE</f>
        <v>40</v>
      </c>
      <c r="D26" s="27" t="s">
        <v>97</v>
      </c>
      <c r="E26" s="26"/>
      <c r="F26" s="23">
        <f>+TRUNC(ROUND(E26*C26,2),2)/100</f>
        <v>0</v>
      </c>
    </row>
    <row r="27" spans="1:8" ht="15.75" x14ac:dyDescent="0.25">
      <c r="A27" s="34"/>
      <c r="B27" s="35" t="s">
        <v>18</v>
      </c>
      <c r="C27" s="36">
        <f>+PRESTACIONES</f>
        <v>40</v>
      </c>
      <c r="D27" s="37" t="s">
        <v>97</v>
      </c>
      <c r="E27" s="38"/>
      <c r="F27" s="38">
        <f>+TRUNC(ROUND(E27*C27,2),2)/100</f>
        <v>0</v>
      </c>
    </row>
    <row r="28" spans="1:8" ht="15.75" x14ac:dyDescent="0.25">
      <c r="A28" s="39"/>
      <c r="B28" s="241" t="s">
        <v>16</v>
      </c>
      <c r="C28" s="241"/>
      <c r="D28" s="242"/>
      <c r="E28" s="40"/>
      <c r="F28" s="41">
        <f>+F27+F26+F25</f>
        <v>960</v>
      </c>
    </row>
    <row r="29" spans="1:8" ht="15" customHeight="1" x14ac:dyDescent="0.25">
      <c r="A29" s="22"/>
      <c r="B29" s="22"/>
      <c r="C29" s="22"/>
      <c r="D29" s="234" t="s">
        <v>98</v>
      </c>
      <c r="E29" s="235"/>
      <c r="F29" s="42">
        <f>+F28+F17</f>
        <v>960</v>
      </c>
      <c r="G29" s="17">
        <f>+F29</f>
        <v>960</v>
      </c>
      <c r="H29" s="17">
        <f>+F17+F28+F31</f>
        <v>964</v>
      </c>
    </row>
    <row r="30" spans="1:8" ht="17.25" customHeight="1" x14ac:dyDescent="0.25">
      <c r="A30" s="22"/>
      <c r="B30" s="22"/>
      <c r="C30" s="22"/>
      <c r="D30" s="234" t="s">
        <v>99</v>
      </c>
      <c r="E30" s="235"/>
      <c r="F30" s="43">
        <f>+TRUNC(ROUND(F29/D4,2),2)</f>
        <v>10</v>
      </c>
      <c r="H30" s="18"/>
    </row>
    <row r="31" spans="1:8" ht="16.5" customHeight="1" x14ac:dyDescent="0.25">
      <c r="A31" s="22"/>
      <c r="B31" s="22"/>
      <c r="C31" s="22"/>
      <c r="D31" s="234" t="s">
        <v>100</v>
      </c>
      <c r="E31" s="235"/>
      <c r="F31" s="42">
        <f>+F30*INDIRECTOS</f>
        <v>4</v>
      </c>
      <c r="H31" s="17"/>
    </row>
    <row r="32" spans="1:8" ht="15.75" customHeight="1" x14ac:dyDescent="0.25">
      <c r="A32" s="22"/>
      <c r="B32" s="22"/>
      <c r="C32" s="22"/>
      <c r="D32" s="234" t="s">
        <v>101</v>
      </c>
      <c r="E32" s="235"/>
      <c r="F32" s="44">
        <f>+F31+F30</f>
        <v>14</v>
      </c>
    </row>
    <row r="33" spans="1:6" ht="15.75" customHeight="1" x14ac:dyDescent="0.25">
      <c r="A33" s="22"/>
      <c r="B33" s="22"/>
      <c r="C33" s="22"/>
      <c r="D33" s="63"/>
      <c r="E33" s="63"/>
      <c r="F33" s="64"/>
    </row>
    <row r="34" spans="1:6" ht="67.5" customHeight="1" x14ac:dyDescent="0.25">
      <c r="A34" s="45" t="s">
        <v>2</v>
      </c>
      <c r="B34" s="69">
        <f>+B3</f>
        <v>1</v>
      </c>
      <c r="C34" s="46" t="s">
        <v>3</v>
      </c>
      <c r="D34" s="47" t="s">
        <v>175</v>
      </c>
      <c r="E34" s="48" t="s">
        <v>5</v>
      </c>
      <c r="F34" s="91" t="str">
        <f>F3</f>
        <v>CASA RUDY MAEDA</v>
      </c>
    </row>
    <row r="35" spans="1:6" ht="56.25" customHeight="1" x14ac:dyDescent="0.25">
      <c r="A35" s="49" t="s">
        <v>0</v>
      </c>
      <c r="B35" s="94" t="s">
        <v>108</v>
      </c>
      <c r="C35" s="50" t="s">
        <v>4</v>
      </c>
      <c r="D35" s="85">
        <v>68.98</v>
      </c>
      <c r="E35" s="51" t="s">
        <v>7</v>
      </c>
      <c r="F35" s="21" t="str">
        <f>F4</f>
        <v>ALDEA EL TULE</v>
      </c>
    </row>
    <row r="36" spans="1:6" ht="15.75" x14ac:dyDescent="0.25">
      <c r="A36" s="52" t="s">
        <v>1</v>
      </c>
      <c r="B36" s="70">
        <v>1.2</v>
      </c>
      <c r="C36" s="53"/>
      <c r="D36" s="54"/>
      <c r="E36" s="55" t="s">
        <v>6</v>
      </c>
      <c r="F36" s="92">
        <f>+F5</f>
        <v>42436</v>
      </c>
    </row>
    <row r="37" spans="1:6" ht="15.75" x14ac:dyDescent="0.25">
      <c r="A37" s="57"/>
      <c r="B37" s="57"/>
      <c r="C37" s="57"/>
      <c r="D37" s="57"/>
      <c r="E37" s="57"/>
      <c r="F37" s="57"/>
    </row>
    <row r="38" spans="1:6" ht="28.5" x14ac:dyDescent="0.25">
      <c r="A38" s="243" t="s">
        <v>9</v>
      </c>
      <c r="B38" s="244"/>
      <c r="C38" s="67" t="s">
        <v>10</v>
      </c>
      <c r="D38" s="59" t="s">
        <v>11</v>
      </c>
      <c r="E38" s="60" t="s">
        <v>12</v>
      </c>
      <c r="F38" s="61" t="s">
        <v>13</v>
      </c>
    </row>
    <row r="39" spans="1:6" ht="15.75" x14ac:dyDescent="0.25">
      <c r="A39" s="245" t="s">
        <v>8</v>
      </c>
      <c r="B39" s="246"/>
      <c r="C39" s="22"/>
      <c r="D39" s="22"/>
      <c r="E39" s="22"/>
      <c r="F39" s="22"/>
    </row>
    <row r="40" spans="1:6" ht="15.75" x14ac:dyDescent="0.25">
      <c r="A40" s="247" t="s">
        <v>151</v>
      </c>
      <c r="B40" s="248"/>
      <c r="C40" s="23">
        <v>1</v>
      </c>
      <c r="D40" s="24" t="s">
        <v>153</v>
      </c>
      <c r="E40" s="25">
        <f>+CAL</f>
        <v>27</v>
      </c>
      <c r="F40" s="23">
        <f t="shared" ref="F40:F47" si="2">+TRUNC(ROUND(E40*C40,2),2)</f>
        <v>27</v>
      </c>
    </row>
    <row r="41" spans="1:6" ht="15.75" x14ac:dyDescent="0.25">
      <c r="A41" s="236" t="s">
        <v>152</v>
      </c>
      <c r="B41" s="237"/>
      <c r="C41" s="26">
        <f>+D35*24*1/12</f>
        <v>137.96</v>
      </c>
      <c r="D41" s="27" t="s">
        <v>154</v>
      </c>
      <c r="E41" s="28">
        <f>+MADERA</f>
        <v>6</v>
      </c>
      <c r="F41" s="26">
        <f t="shared" si="2"/>
        <v>827.76</v>
      </c>
    </row>
    <row r="42" spans="1:6" ht="15.75" x14ac:dyDescent="0.25">
      <c r="A42" s="236" t="s">
        <v>167</v>
      </c>
      <c r="B42" s="237"/>
      <c r="C42" s="26">
        <f>+C41*0.03</f>
        <v>4.1387999999999998</v>
      </c>
      <c r="D42" s="27" t="s">
        <v>165</v>
      </c>
      <c r="E42" s="28">
        <v>5</v>
      </c>
      <c r="F42" s="26">
        <f t="shared" si="2"/>
        <v>20.69</v>
      </c>
    </row>
    <row r="43" spans="1:6" ht="15.75" x14ac:dyDescent="0.25">
      <c r="A43" s="236"/>
      <c r="B43" s="237"/>
      <c r="C43" s="26"/>
      <c r="D43" s="27"/>
      <c r="E43" s="28"/>
      <c r="F43" s="26">
        <f t="shared" si="2"/>
        <v>0</v>
      </c>
    </row>
    <row r="44" spans="1:6" ht="15.75" x14ac:dyDescent="0.25">
      <c r="A44" s="236"/>
      <c r="B44" s="237"/>
      <c r="C44" s="26"/>
      <c r="D44" s="27"/>
      <c r="E44" s="28"/>
      <c r="F44" s="26">
        <f t="shared" si="2"/>
        <v>0</v>
      </c>
    </row>
    <row r="45" spans="1:6" ht="15.75" x14ac:dyDescent="0.25">
      <c r="A45" s="236"/>
      <c r="B45" s="237"/>
      <c r="C45" s="26"/>
      <c r="D45" s="27"/>
      <c r="E45" s="28"/>
      <c r="F45" s="26">
        <f t="shared" si="2"/>
        <v>0</v>
      </c>
    </row>
    <row r="46" spans="1:6" ht="15.75" x14ac:dyDescent="0.25">
      <c r="A46" s="236"/>
      <c r="B46" s="237"/>
      <c r="C46" s="26"/>
      <c r="D46" s="27"/>
      <c r="E46" s="28"/>
      <c r="F46" s="26">
        <f t="shared" si="2"/>
        <v>0</v>
      </c>
    </row>
    <row r="47" spans="1:6" ht="15.75" x14ac:dyDescent="0.25">
      <c r="A47" s="236"/>
      <c r="B47" s="237"/>
      <c r="C47" s="26"/>
      <c r="D47" s="27"/>
      <c r="E47" s="28"/>
      <c r="F47" s="26">
        <f t="shared" si="2"/>
        <v>0</v>
      </c>
    </row>
    <row r="48" spans="1:6" ht="15.75" x14ac:dyDescent="0.25">
      <c r="A48" s="39"/>
      <c r="B48" s="241" t="s">
        <v>14</v>
      </c>
      <c r="C48" s="241"/>
      <c r="D48" s="241"/>
      <c r="E48" s="62"/>
      <c r="F48" s="41">
        <f>SUM(F40:F47)</f>
        <v>875.45</v>
      </c>
    </row>
    <row r="49" spans="1:8" ht="15.75" x14ac:dyDescent="0.25">
      <c r="A49" s="249" t="s">
        <v>15</v>
      </c>
      <c r="B49" s="250"/>
      <c r="C49" s="82">
        <f>+D35/0.3</f>
        <v>229.93333333333337</v>
      </c>
      <c r="D49" s="22"/>
      <c r="E49" s="22"/>
      <c r="F49" s="22"/>
    </row>
    <row r="50" spans="1:8" ht="15.75" x14ac:dyDescent="0.25">
      <c r="A50" s="251" t="s">
        <v>150</v>
      </c>
      <c r="B50" s="252"/>
      <c r="C50" s="65">
        <f>+D35</f>
        <v>68.98</v>
      </c>
      <c r="D50" s="66" t="s">
        <v>204</v>
      </c>
      <c r="E50" s="95">
        <v>3.5</v>
      </c>
      <c r="F50" s="41">
        <f t="shared" ref="F50:F55" si="3">+TRUNC(ROUND(E50*C50,2),2)</f>
        <v>241.43</v>
      </c>
    </row>
    <row r="51" spans="1:8" ht="15.75" x14ac:dyDescent="0.25">
      <c r="A51" s="236" t="s">
        <v>218</v>
      </c>
      <c r="B51" s="237"/>
      <c r="C51" s="28">
        <f>C50</f>
        <v>68.98</v>
      </c>
      <c r="D51" s="27" t="s">
        <v>204</v>
      </c>
      <c r="E51" s="26">
        <v>8</v>
      </c>
      <c r="F51" s="26">
        <f t="shared" si="3"/>
        <v>551.84</v>
      </c>
    </row>
    <row r="52" spans="1:8" ht="15.75" x14ac:dyDescent="0.25">
      <c r="A52" s="236"/>
      <c r="B52" s="237"/>
      <c r="C52" s="28"/>
      <c r="D52" s="27"/>
      <c r="E52" s="26"/>
      <c r="F52" s="26">
        <f t="shared" si="3"/>
        <v>0</v>
      </c>
    </row>
    <row r="53" spans="1:8" ht="15.75" x14ac:dyDescent="0.25">
      <c r="A53" s="236"/>
      <c r="B53" s="237"/>
      <c r="C53" s="28"/>
      <c r="D53" s="27"/>
      <c r="E53" s="26"/>
      <c r="F53" s="26">
        <f t="shared" si="3"/>
        <v>0</v>
      </c>
    </row>
    <row r="54" spans="1:8" ht="15.75" x14ac:dyDescent="0.25">
      <c r="A54" s="236"/>
      <c r="B54" s="237"/>
      <c r="C54" s="28"/>
      <c r="D54" s="27"/>
      <c r="E54" s="26"/>
      <c r="F54" s="26">
        <f t="shared" si="3"/>
        <v>0</v>
      </c>
    </row>
    <row r="55" spans="1:8" ht="15.75" x14ac:dyDescent="0.25">
      <c r="A55" s="236"/>
      <c r="B55" s="237"/>
      <c r="C55" s="28"/>
      <c r="D55" s="27"/>
      <c r="E55" s="26"/>
      <c r="F55" s="26">
        <f t="shared" si="3"/>
        <v>0</v>
      </c>
    </row>
    <row r="56" spans="1:8" ht="15.75" x14ac:dyDescent="0.25">
      <c r="A56" s="29"/>
      <c r="B56" s="30"/>
      <c r="C56" s="238" t="s">
        <v>96</v>
      </c>
      <c r="D56" s="239"/>
      <c r="E56" s="240"/>
      <c r="F56" s="26">
        <f>SUM(F50:F55)</f>
        <v>793.27</v>
      </c>
    </row>
    <row r="57" spans="1:8" ht="15.75" x14ac:dyDescent="0.25">
      <c r="A57" s="31"/>
      <c r="B57" s="68" t="s">
        <v>17</v>
      </c>
      <c r="C57" s="33">
        <f>+AYUDANTE</f>
        <v>40</v>
      </c>
      <c r="D57" s="27" t="s">
        <v>97</v>
      </c>
      <c r="E57" s="26"/>
      <c r="F57" s="23">
        <f>+TRUNC(ROUND(E57*C57,2),2)/100</f>
        <v>0</v>
      </c>
    </row>
    <row r="58" spans="1:8" ht="15.75" x14ac:dyDescent="0.25">
      <c r="A58" s="34"/>
      <c r="B58" s="35" t="s">
        <v>217</v>
      </c>
      <c r="C58" s="36">
        <f>+PRESTACIONES</f>
        <v>40</v>
      </c>
      <c r="D58" s="37" t="s">
        <v>97</v>
      </c>
      <c r="E58" s="26"/>
      <c r="F58" s="38">
        <f>+TRUNC(ROUND(E58*C58,2),2)/100</f>
        <v>0</v>
      </c>
    </row>
    <row r="59" spans="1:8" ht="15.75" x14ac:dyDescent="0.25">
      <c r="A59" s="39"/>
      <c r="B59" s="241" t="s">
        <v>16</v>
      </c>
      <c r="C59" s="241"/>
      <c r="D59" s="242"/>
      <c r="E59" s="40"/>
      <c r="F59" s="41">
        <f>+F58+F57+F56</f>
        <v>793.27</v>
      </c>
    </row>
    <row r="60" spans="1:8" ht="15" customHeight="1" x14ac:dyDescent="0.25">
      <c r="A60" s="22"/>
      <c r="B60" s="22"/>
      <c r="C60" s="22"/>
      <c r="D60" s="234" t="s">
        <v>98</v>
      </c>
      <c r="E60" s="235"/>
      <c r="F60" s="42">
        <f>+F59+F48</f>
        <v>1668.72</v>
      </c>
      <c r="G60" s="17">
        <f>+F60</f>
        <v>1668.72</v>
      </c>
      <c r="H60" s="17">
        <f>+F48+F59+F62</f>
        <v>1678.396</v>
      </c>
    </row>
    <row r="61" spans="1:8" ht="17.25" customHeight="1" x14ac:dyDescent="0.25">
      <c r="A61" s="22"/>
      <c r="B61" s="22"/>
      <c r="C61" s="22"/>
      <c r="D61" s="234" t="s">
        <v>99</v>
      </c>
      <c r="E61" s="235"/>
      <c r="F61" s="43">
        <f>+TRUNC(ROUND(F60/D35,2),2)</f>
        <v>24.19</v>
      </c>
      <c r="H61" s="18"/>
    </row>
    <row r="62" spans="1:8" ht="16.5" customHeight="1" x14ac:dyDescent="0.25">
      <c r="A62" s="22"/>
      <c r="B62" s="22"/>
      <c r="C62" s="22"/>
      <c r="D62" s="234" t="s">
        <v>100</v>
      </c>
      <c r="E62" s="235"/>
      <c r="F62" s="42">
        <f>+F61*INDIRECTOS</f>
        <v>9.6760000000000019</v>
      </c>
      <c r="H62" s="17"/>
    </row>
    <row r="63" spans="1:8" ht="15.75" customHeight="1" x14ac:dyDescent="0.25">
      <c r="A63" s="22"/>
      <c r="B63" s="22"/>
      <c r="C63" s="22"/>
      <c r="D63" s="234" t="s">
        <v>101</v>
      </c>
      <c r="E63" s="235"/>
      <c r="F63" s="44">
        <f>+F62+F61</f>
        <v>33.866</v>
      </c>
    </row>
    <row r="64" spans="1:8" ht="15.75" customHeight="1" x14ac:dyDescent="0.25">
      <c r="A64" s="22"/>
      <c r="B64" s="22"/>
      <c r="C64" s="22"/>
      <c r="D64" s="63"/>
      <c r="E64" s="63"/>
      <c r="F64" s="64"/>
    </row>
    <row r="65" spans="1:8" ht="67.5" customHeight="1" x14ac:dyDescent="0.25">
      <c r="A65" s="45" t="s">
        <v>2</v>
      </c>
      <c r="B65" s="69">
        <v>2</v>
      </c>
      <c r="C65" s="46" t="s">
        <v>3</v>
      </c>
      <c r="D65" s="47" t="s">
        <v>175</v>
      </c>
      <c r="E65" s="48" t="s">
        <v>5</v>
      </c>
      <c r="F65" s="91" t="str">
        <f>F34</f>
        <v>CASA RUDY MAEDA</v>
      </c>
    </row>
    <row r="66" spans="1:8" ht="56.25" customHeight="1" x14ac:dyDescent="0.25">
      <c r="A66" s="208" t="s">
        <v>0</v>
      </c>
      <c r="B66" s="209" t="s">
        <v>219</v>
      </c>
      <c r="C66" s="50" t="s">
        <v>4</v>
      </c>
      <c r="D66" s="85">
        <v>68.98</v>
      </c>
      <c r="E66" s="51" t="s">
        <v>7</v>
      </c>
      <c r="F66" s="21" t="str">
        <f>F35</f>
        <v>ALDEA EL TULE</v>
      </c>
    </row>
    <row r="67" spans="1:8" ht="15.75" customHeight="1" x14ac:dyDescent="0.25">
      <c r="A67" s="52" t="s">
        <v>1</v>
      </c>
      <c r="B67" s="70">
        <v>2.1</v>
      </c>
      <c r="C67" s="53"/>
      <c r="D67" s="54"/>
      <c r="E67" s="55" t="s">
        <v>6</v>
      </c>
      <c r="F67" s="92">
        <f>+F36</f>
        <v>42436</v>
      </c>
    </row>
    <row r="68" spans="1:8" ht="15.75" customHeight="1" x14ac:dyDescent="0.25">
      <c r="A68" s="57"/>
      <c r="B68" s="57"/>
      <c r="C68" s="57"/>
      <c r="D68" s="57"/>
      <c r="E68" s="57"/>
      <c r="F68" s="57"/>
    </row>
    <row r="69" spans="1:8" ht="27.75" customHeight="1" x14ac:dyDescent="0.25">
      <c r="A69" s="243" t="s">
        <v>9</v>
      </c>
      <c r="B69" s="244"/>
      <c r="C69" s="96" t="s">
        <v>10</v>
      </c>
      <c r="D69" s="59" t="s">
        <v>11</v>
      </c>
      <c r="E69" s="60" t="s">
        <v>12</v>
      </c>
      <c r="F69" s="61" t="s">
        <v>13</v>
      </c>
    </row>
    <row r="70" spans="1:8" ht="15.75" customHeight="1" x14ac:dyDescent="0.25">
      <c r="A70" s="245" t="s">
        <v>8</v>
      </c>
      <c r="B70" s="246"/>
      <c r="C70" s="22"/>
      <c r="D70" s="22"/>
      <c r="E70" s="22"/>
      <c r="F70" s="22"/>
    </row>
    <row r="71" spans="1:8" ht="15.75" customHeight="1" x14ac:dyDescent="0.25">
      <c r="A71" s="247" t="s">
        <v>155</v>
      </c>
      <c r="B71" s="248"/>
      <c r="C71" s="23">
        <f>+E81*9</f>
        <v>49.665600000000005</v>
      </c>
      <c r="D71" s="24" t="s">
        <v>163</v>
      </c>
      <c r="E71" s="25">
        <v>71</v>
      </c>
      <c r="F71" s="23">
        <f t="shared" ref="F71:F79" si="4">+TRUNC(ROUND(E71*C71,2),2)</f>
        <v>3526.26</v>
      </c>
    </row>
    <row r="72" spans="1:8" ht="15.75" customHeight="1" x14ac:dyDescent="0.25">
      <c r="A72" s="236" t="s">
        <v>32</v>
      </c>
      <c r="B72" s="237"/>
      <c r="C72" s="26">
        <f>+E81*0.55*1.33</f>
        <v>4.0367096000000009</v>
      </c>
      <c r="D72" s="27" t="s">
        <v>102</v>
      </c>
      <c r="E72" s="28">
        <v>130</v>
      </c>
      <c r="F72" s="26">
        <f t="shared" si="4"/>
        <v>524.77</v>
      </c>
    </row>
    <row r="73" spans="1:8" ht="15.75" customHeight="1" x14ac:dyDescent="0.25">
      <c r="A73" s="236" t="s">
        <v>34</v>
      </c>
      <c r="B73" s="237"/>
      <c r="C73" s="26">
        <f>+E81*0.55*1.15</f>
        <v>3.4903880000000003</v>
      </c>
      <c r="D73" s="27" t="s">
        <v>102</v>
      </c>
      <c r="E73" s="28">
        <v>150</v>
      </c>
      <c r="F73" s="26">
        <f t="shared" si="4"/>
        <v>523.55999999999995</v>
      </c>
    </row>
    <row r="74" spans="1:8" ht="15.75" customHeight="1" x14ac:dyDescent="0.25">
      <c r="A74" s="236" t="s">
        <v>156</v>
      </c>
      <c r="B74" s="237"/>
      <c r="C74" s="26">
        <f>+D66*3/6</f>
        <v>34.49</v>
      </c>
      <c r="D74" s="27" t="s">
        <v>164</v>
      </c>
      <c r="E74" s="28">
        <v>13</v>
      </c>
      <c r="F74" s="26">
        <f t="shared" si="4"/>
        <v>448.37</v>
      </c>
      <c r="H74">
        <f>+C74/13</f>
        <v>2.6530769230769233</v>
      </c>
    </row>
    <row r="75" spans="1:8" ht="15.75" customHeight="1" x14ac:dyDescent="0.25">
      <c r="A75" s="236" t="s">
        <v>29</v>
      </c>
      <c r="B75" s="237"/>
      <c r="C75" s="26">
        <f>+D66/0.2*0.45/6</f>
        <v>25.867499999999996</v>
      </c>
      <c r="D75" s="27" t="s">
        <v>164</v>
      </c>
      <c r="E75" s="28">
        <v>6</v>
      </c>
      <c r="F75" s="26">
        <f t="shared" si="4"/>
        <v>155.21</v>
      </c>
      <c r="H75">
        <f>+C75/30</f>
        <v>0.86224999999999985</v>
      </c>
    </row>
    <row r="76" spans="1:8" ht="15.75" customHeight="1" x14ac:dyDescent="0.25">
      <c r="A76" s="236" t="s">
        <v>58</v>
      </c>
      <c r="B76" s="237"/>
      <c r="C76" s="26">
        <f>+C78*0.03</f>
        <v>6.8980000000000006</v>
      </c>
      <c r="D76" s="27" t="s">
        <v>165</v>
      </c>
      <c r="E76" s="28">
        <f>+CLAVO</f>
        <v>5.5</v>
      </c>
      <c r="F76" s="26">
        <f t="shared" si="4"/>
        <v>37.94</v>
      </c>
      <c r="H76">
        <f>+H74+H75</f>
        <v>3.5153269230769233</v>
      </c>
    </row>
    <row r="77" spans="1:8" ht="15.75" customHeight="1" x14ac:dyDescent="0.25">
      <c r="A77" s="236" t="s">
        <v>57</v>
      </c>
      <c r="B77" s="237"/>
      <c r="C77" s="26">
        <f>+H76*3.5</f>
        <v>12.303644230769232</v>
      </c>
      <c r="D77" s="27" t="s">
        <v>165</v>
      </c>
      <c r="E77" s="28">
        <v>4.25</v>
      </c>
      <c r="F77" s="26">
        <f t="shared" si="4"/>
        <v>52.29</v>
      </c>
    </row>
    <row r="78" spans="1:8" ht="15.75" customHeight="1" x14ac:dyDescent="0.25">
      <c r="A78" s="236" t="s">
        <v>152</v>
      </c>
      <c r="B78" s="237"/>
      <c r="C78" s="26">
        <f>+C81*12*1/12</f>
        <v>229.93333333333337</v>
      </c>
      <c r="D78" s="27" t="s">
        <v>154</v>
      </c>
      <c r="E78" s="28">
        <f>+MADERA</f>
        <v>6</v>
      </c>
      <c r="F78" s="26">
        <f t="shared" si="4"/>
        <v>1379.6</v>
      </c>
    </row>
    <row r="79" spans="1:8" ht="15.75" customHeight="1" x14ac:dyDescent="0.25">
      <c r="A79" s="236" t="s">
        <v>52</v>
      </c>
      <c r="B79" s="237"/>
      <c r="C79" s="26">
        <f>+C83*1.1</f>
        <v>6.8290199999999999</v>
      </c>
      <c r="D79" s="27" t="s">
        <v>102</v>
      </c>
      <c r="E79" s="28">
        <f>+SELECTO</f>
        <v>60</v>
      </c>
      <c r="F79" s="26">
        <f t="shared" si="4"/>
        <v>409.74</v>
      </c>
    </row>
    <row r="80" spans="1:8" ht="15.75" customHeight="1" x14ac:dyDescent="0.25">
      <c r="A80" s="39"/>
      <c r="B80" s="241" t="s">
        <v>14</v>
      </c>
      <c r="C80" s="241"/>
      <c r="D80" s="241"/>
      <c r="E80" s="62"/>
      <c r="F80" s="41">
        <f>SUM(F71:F78)</f>
        <v>6648</v>
      </c>
    </row>
    <row r="81" spans="1:8" ht="15.75" customHeight="1" x14ac:dyDescent="0.25">
      <c r="A81" s="249" t="s">
        <v>15</v>
      </c>
      <c r="B81" s="250"/>
      <c r="C81" s="82">
        <f>+D66/0.3</f>
        <v>229.93333333333337</v>
      </c>
      <c r="D81" s="82"/>
      <c r="E81" s="81">
        <f>+D66*0.2*0.4</f>
        <v>5.5184000000000006</v>
      </c>
      <c r="F81" s="22"/>
    </row>
    <row r="82" spans="1:8" ht="15.75" customHeight="1" x14ac:dyDescent="0.25">
      <c r="A82" s="251" t="s">
        <v>157</v>
      </c>
      <c r="B82" s="252"/>
      <c r="C82" s="65">
        <f>+D66*0.3*0.9</f>
        <v>18.624600000000001</v>
      </c>
      <c r="D82" s="66" t="s">
        <v>102</v>
      </c>
      <c r="E82" s="41">
        <v>20</v>
      </c>
      <c r="F82" s="41">
        <f t="shared" ref="F82:F87" si="5">+TRUNC(ROUND(E82*C82,2),2)</f>
        <v>372.49</v>
      </c>
    </row>
    <row r="83" spans="1:8" ht="15.75" customHeight="1" x14ac:dyDescent="0.25">
      <c r="A83" s="236" t="s">
        <v>158</v>
      </c>
      <c r="B83" s="237"/>
      <c r="C83" s="28">
        <f>+D66*0.15*0.6</f>
        <v>6.2081999999999997</v>
      </c>
      <c r="D83" s="27" t="s">
        <v>102</v>
      </c>
      <c r="E83" s="26">
        <v>15</v>
      </c>
      <c r="F83" s="26">
        <f t="shared" si="5"/>
        <v>93.12</v>
      </c>
    </row>
    <row r="84" spans="1:8" ht="15.75" customHeight="1" x14ac:dyDescent="0.25">
      <c r="A84" s="236" t="s">
        <v>159</v>
      </c>
      <c r="B84" s="237"/>
      <c r="C84" s="28">
        <f>+C74*6</f>
        <v>206.94</v>
      </c>
      <c r="D84" s="27" t="s">
        <v>204</v>
      </c>
      <c r="E84" s="26">
        <v>1.2</v>
      </c>
      <c r="F84" s="26">
        <f t="shared" si="5"/>
        <v>248.33</v>
      </c>
    </row>
    <row r="85" spans="1:8" ht="15.75" customHeight="1" x14ac:dyDescent="0.25">
      <c r="A85" s="236" t="s">
        <v>161</v>
      </c>
      <c r="B85" s="237"/>
      <c r="C85" s="28">
        <f>+C75*6</f>
        <v>155.20499999999998</v>
      </c>
      <c r="D85" s="27" t="s">
        <v>204</v>
      </c>
      <c r="E85" s="26">
        <v>0.8</v>
      </c>
      <c r="F85" s="26">
        <f t="shared" si="5"/>
        <v>124.16</v>
      </c>
    </row>
    <row r="86" spans="1:8" ht="15.75" customHeight="1" x14ac:dyDescent="0.25">
      <c r="A86" s="236" t="s">
        <v>162</v>
      </c>
      <c r="B86" s="237"/>
      <c r="C86" s="28">
        <f>+E81</f>
        <v>5.5184000000000006</v>
      </c>
      <c r="D86" s="27" t="s">
        <v>102</v>
      </c>
      <c r="E86" s="26">
        <v>40</v>
      </c>
      <c r="F86" s="26">
        <f t="shared" si="5"/>
        <v>220.74</v>
      </c>
    </row>
    <row r="87" spans="1:8" ht="15.75" customHeight="1" x14ac:dyDescent="0.25">
      <c r="A87" s="236" t="s">
        <v>166</v>
      </c>
      <c r="B87" s="237"/>
      <c r="C87" s="28">
        <f>+D66</f>
        <v>68.98</v>
      </c>
      <c r="D87" s="27" t="s">
        <v>204</v>
      </c>
      <c r="E87" s="26">
        <v>4</v>
      </c>
      <c r="F87" s="26">
        <f t="shared" si="5"/>
        <v>275.92</v>
      </c>
    </row>
    <row r="88" spans="1:8" ht="15.75" customHeight="1" x14ac:dyDescent="0.25">
      <c r="A88" s="29"/>
      <c r="B88" s="30"/>
      <c r="C88" s="238" t="s">
        <v>96</v>
      </c>
      <c r="D88" s="239"/>
      <c r="E88" s="240"/>
      <c r="F88" s="26">
        <f>SUM(F82:F87)</f>
        <v>1334.7600000000002</v>
      </c>
    </row>
    <row r="89" spans="1:8" ht="15.75" customHeight="1" x14ac:dyDescent="0.25">
      <c r="A89" s="31"/>
      <c r="B89" s="97" t="s">
        <v>17</v>
      </c>
      <c r="C89" s="33">
        <f>+AYUDANTE</f>
        <v>40</v>
      </c>
      <c r="D89" s="27" t="s">
        <v>97</v>
      </c>
      <c r="E89" s="26"/>
      <c r="F89" s="23">
        <f>+TRUNC(ROUND(E89*C89,2),2)/100</f>
        <v>0</v>
      </c>
    </row>
    <row r="90" spans="1:8" ht="15.75" customHeight="1" x14ac:dyDescent="0.25">
      <c r="A90" s="34"/>
      <c r="B90" s="35" t="s">
        <v>17</v>
      </c>
      <c r="C90" s="36">
        <f>+PRESTACIONES</f>
        <v>40</v>
      </c>
      <c r="D90" s="37" t="s">
        <v>97</v>
      </c>
      <c r="E90" s="26"/>
      <c r="F90" s="38">
        <f>+TRUNC(ROUND(E90*C90,2),2)/100</f>
        <v>0</v>
      </c>
    </row>
    <row r="91" spans="1:8" ht="15.75" customHeight="1" x14ac:dyDescent="0.25">
      <c r="A91" s="39"/>
      <c r="B91" s="241" t="s">
        <v>16</v>
      </c>
      <c r="C91" s="241"/>
      <c r="D91" s="242"/>
      <c r="E91" s="40"/>
      <c r="F91" s="41">
        <f>+F90+F89+F88</f>
        <v>1334.7600000000002</v>
      </c>
    </row>
    <row r="92" spans="1:8" ht="15.75" customHeight="1" x14ac:dyDescent="0.25">
      <c r="A92" s="22"/>
      <c r="B92" s="22"/>
      <c r="C92" s="22"/>
      <c r="D92" s="234" t="s">
        <v>98</v>
      </c>
      <c r="E92" s="235"/>
      <c r="F92" s="42">
        <f>+F91+F80</f>
        <v>7982.76</v>
      </c>
      <c r="G92" s="17">
        <f>+F92</f>
        <v>7982.76</v>
      </c>
      <c r="H92" s="17">
        <f>+F80+F91+F94</f>
        <v>8029.0520000000006</v>
      </c>
    </row>
    <row r="93" spans="1:8" ht="15.75" customHeight="1" x14ac:dyDescent="0.25">
      <c r="A93" s="22"/>
      <c r="B93" s="22"/>
      <c r="C93" s="22"/>
      <c r="D93" s="234" t="s">
        <v>99</v>
      </c>
      <c r="E93" s="235"/>
      <c r="F93" s="43">
        <f>+TRUNC(ROUND(F92/D66,2),2)</f>
        <v>115.73</v>
      </c>
      <c r="H93" s="18"/>
    </row>
    <row r="94" spans="1:8" ht="15.75" customHeight="1" x14ac:dyDescent="0.25">
      <c r="A94" s="22"/>
      <c r="B94" s="22"/>
      <c r="C94" s="22"/>
      <c r="D94" s="234" t="s">
        <v>100</v>
      </c>
      <c r="E94" s="235"/>
      <c r="F94" s="42">
        <f>+F93*INDIRECTOS</f>
        <v>46.292000000000002</v>
      </c>
      <c r="H94" s="17"/>
    </row>
    <row r="95" spans="1:8" ht="15.75" customHeight="1" x14ac:dyDescent="0.25">
      <c r="A95" s="22"/>
      <c r="B95" s="22"/>
      <c r="C95" s="22"/>
      <c r="D95" s="234" t="s">
        <v>101</v>
      </c>
      <c r="E95" s="235"/>
      <c r="F95" s="44">
        <f>+F94+F93</f>
        <v>162.02199999999999</v>
      </c>
    </row>
    <row r="96" spans="1:8" ht="15.75" customHeight="1" x14ac:dyDescent="0.25">
      <c r="A96" s="22"/>
      <c r="B96" s="22"/>
      <c r="C96" s="22"/>
      <c r="D96" s="63"/>
      <c r="E96" s="63"/>
      <c r="F96" s="64"/>
    </row>
    <row r="97" spans="1:8" ht="15.75" customHeight="1" x14ac:dyDescent="0.25">
      <c r="A97" s="22"/>
      <c r="B97" s="22"/>
      <c r="C97" s="22"/>
      <c r="D97" s="63"/>
      <c r="E97" s="63"/>
      <c r="F97" s="64"/>
    </row>
    <row r="98" spans="1:8" ht="67.5" customHeight="1" x14ac:dyDescent="0.25">
      <c r="A98" s="45" t="s">
        <v>2</v>
      </c>
      <c r="B98" s="69">
        <v>2</v>
      </c>
      <c r="C98" s="46" t="s">
        <v>3</v>
      </c>
      <c r="D98" s="47" t="s">
        <v>11</v>
      </c>
      <c r="E98" s="48" t="s">
        <v>5</v>
      </c>
      <c r="F98" s="91" t="str">
        <f>F65</f>
        <v>CASA RUDY MAEDA</v>
      </c>
    </row>
    <row r="99" spans="1:8" ht="56.25" customHeight="1" x14ac:dyDescent="0.25">
      <c r="A99" s="49" t="s">
        <v>0</v>
      </c>
      <c r="B99" s="83" t="s">
        <v>120</v>
      </c>
      <c r="C99" s="50" t="s">
        <v>4</v>
      </c>
      <c r="D99" s="85">
        <v>13</v>
      </c>
      <c r="E99" s="51" t="s">
        <v>7</v>
      </c>
      <c r="F99" s="21" t="str">
        <f>F66</f>
        <v>ALDEA EL TULE</v>
      </c>
    </row>
    <row r="100" spans="1:8" ht="15.75" x14ac:dyDescent="0.25">
      <c r="A100" s="52" t="s">
        <v>1</v>
      </c>
      <c r="B100" s="70">
        <v>2.2000000000000002</v>
      </c>
      <c r="C100" s="53"/>
      <c r="D100" s="54"/>
      <c r="E100" s="55" t="s">
        <v>6</v>
      </c>
      <c r="F100" s="92">
        <f>F67</f>
        <v>42436</v>
      </c>
    </row>
    <row r="101" spans="1:8" ht="15.75" x14ac:dyDescent="0.25">
      <c r="A101" s="57"/>
      <c r="B101" s="57"/>
      <c r="C101" s="57"/>
      <c r="D101" s="57"/>
      <c r="E101" s="57"/>
      <c r="F101" s="57"/>
    </row>
    <row r="102" spans="1:8" ht="28.5" x14ac:dyDescent="0.25">
      <c r="A102" s="243" t="s">
        <v>9</v>
      </c>
      <c r="B102" s="244"/>
      <c r="C102" s="67" t="s">
        <v>10</v>
      </c>
      <c r="D102" s="59" t="s">
        <v>11</v>
      </c>
      <c r="E102" s="60" t="s">
        <v>12</v>
      </c>
      <c r="F102" s="61" t="s">
        <v>13</v>
      </c>
    </row>
    <row r="103" spans="1:8" ht="15.75" x14ac:dyDescent="0.25">
      <c r="A103" s="245" t="s">
        <v>8</v>
      </c>
      <c r="B103" s="246"/>
      <c r="C103" s="22"/>
      <c r="D103" s="22"/>
      <c r="E103" s="22"/>
      <c r="F103" s="22"/>
    </row>
    <row r="104" spans="1:8" ht="15.75" x14ac:dyDescent="0.25">
      <c r="A104" s="247" t="s">
        <v>155</v>
      </c>
      <c r="B104" s="248"/>
      <c r="C104" s="23">
        <f>+E114*9</f>
        <v>5.8500000000000005</v>
      </c>
      <c r="D104" s="24" t="s">
        <v>163</v>
      </c>
      <c r="E104" s="25">
        <v>72</v>
      </c>
      <c r="F104" s="23">
        <f t="shared" ref="F104:F112" si="6">+TRUNC(ROUND(E104*C104,2),2)</f>
        <v>421.2</v>
      </c>
    </row>
    <row r="105" spans="1:8" ht="15.75" x14ac:dyDescent="0.25">
      <c r="A105" s="236" t="s">
        <v>32</v>
      </c>
      <c r="B105" s="237"/>
      <c r="C105" s="26">
        <f>+E114*0.55*1.33</f>
        <v>0.47547500000000009</v>
      </c>
      <c r="D105" s="27" t="s">
        <v>102</v>
      </c>
      <c r="E105" s="28">
        <v>130</v>
      </c>
      <c r="F105" s="26">
        <f t="shared" si="6"/>
        <v>61.81</v>
      </c>
    </row>
    <row r="106" spans="1:8" ht="15.75" x14ac:dyDescent="0.25">
      <c r="A106" s="236" t="s">
        <v>34</v>
      </c>
      <c r="B106" s="237"/>
      <c r="C106" s="26">
        <f>+E114*0.55*1.15</f>
        <v>0.41112500000000002</v>
      </c>
      <c r="D106" s="27" t="s">
        <v>102</v>
      </c>
      <c r="E106" s="28">
        <v>150</v>
      </c>
      <c r="F106" s="26">
        <f t="shared" si="6"/>
        <v>61.67</v>
      </c>
    </row>
    <row r="107" spans="1:8" ht="15.75" x14ac:dyDescent="0.25">
      <c r="A107" s="236" t="s">
        <v>156</v>
      </c>
      <c r="B107" s="237"/>
      <c r="C107" s="26">
        <f>+D99*3.33</f>
        <v>43.29</v>
      </c>
      <c r="D107" s="27" t="s">
        <v>164</v>
      </c>
      <c r="E107" s="28">
        <v>13</v>
      </c>
      <c r="F107" s="26">
        <f t="shared" si="6"/>
        <v>562.77</v>
      </c>
      <c r="H107">
        <f>+C107/13</f>
        <v>3.33</v>
      </c>
    </row>
    <row r="108" spans="1:8" ht="15.75" x14ac:dyDescent="0.25">
      <c r="A108" s="236" t="s">
        <v>29</v>
      </c>
      <c r="B108" s="237"/>
      <c r="C108" s="26"/>
      <c r="D108" s="27" t="s">
        <v>164</v>
      </c>
      <c r="E108" s="28">
        <v>6</v>
      </c>
      <c r="F108" s="26">
        <f t="shared" si="6"/>
        <v>0</v>
      </c>
      <c r="H108">
        <f>+C108/30</f>
        <v>0</v>
      </c>
    </row>
    <row r="109" spans="1:8" ht="15.75" x14ac:dyDescent="0.25">
      <c r="A109" s="236" t="s">
        <v>58</v>
      </c>
      <c r="B109" s="237"/>
      <c r="C109" s="26">
        <f>+C111*0.03</f>
        <v>0</v>
      </c>
      <c r="D109" s="27" t="s">
        <v>165</v>
      </c>
      <c r="E109" s="28">
        <f>+CLAVO</f>
        <v>5.5</v>
      </c>
      <c r="F109" s="26">
        <f t="shared" si="6"/>
        <v>0</v>
      </c>
      <c r="H109">
        <f>+H107+H108</f>
        <v>3.33</v>
      </c>
    </row>
    <row r="110" spans="1:8" ht="15.75" x14ac:dyDescent="0.25">
      <c r="A110" s="236" t="s">
        <v>57</v>
      </c>
      <c r="B110" s="237"/>
      <c r="C110" s="26">
        <f>+H109*3.5</f>
        <v>11.655000000000001</v>
      </c>
      <c r="D110" s="27" t="s">
        <v>165</v>
      </c>
      <c r="E110" s="28">
        <v>4.25</v>
      </c>
      <c r="F110" s="26">
        <f t="shared" si="6"/>
        <v>49.53</v>
      </c>
    </row>
    <row r="111" spans="1:8" ht="15.75" x14ac:dyDescent="0.25">
      <c r="A111" s="236" t="s">
        <v>152</v>
      </c>
      <c r="B111" s="237"/>
      <c r="C111" s="26"/>
      <c r="D111" s="27" t="s">
        <v>154</v>
      </c>
      <c r="E111" s="28">
        <f>+MADERA</f>
        <v>6</v>
      </c>
      <c r="F111" s="26">
        <f t="shared" si="6"/>
        <v>0</v>
      </c>
    </row>
    <row r="112" spans="1:8" ht="15.75" x14ac:dyDescent="0.25">
      <c r="A112" s="236" t="s">
        <v>52</v>
      </c>
      <c r="B112" s="237"/>
      <c r="C112" s="26">
        <f>+C116*1.1</f>
        <v>1.1154000000000002</v>
      </c>
      <c r="D112" s="27" t="s">
        <v>102</v>
      </c>
      <c r="E112" s="28">
        <f>+SELECTO</f>
        <v>60</v>
      </c>
      <c r="F112" s="26">
        <f t="shared" si="6"/>
        <v>66.92</v>
      </c>
    </row>
    <row r="113" spans="1:8" ht="15.75" x14ac:dyDescent="0.25">
      <c r="A113" s="39"/>
      <c r="B113" s="241" t="s">
        <v>14</v>
      </c>
      <c r="C113" s="241"/>
      <c r="D113" s="241"/>
      <c r="E113" s="62"/>
      <c r="F113" s="41">
        <f>SUM(F104:F111)</f>
        <v>1156.9799999999998</v>
      </c>
    </row>
    <row r="114" spans="1:8" ht="15.75" x14ac:dyDescent="0.25">
      <c r="A114" s="249" t="s">
        <v>15</v>
      </c>
      <c r="B114" s="250"/>
      <c r="C114" s="22"/>
      <c r="D114" s="82"/>
      <c r="E114" s="81">
        <f>+D99*0.2*0.5*0.5</f>
        <v>0.65</v>
      </c>
      <c r="F114" s="22"/>
    </row>
    <row r="115" spans="1:8" ht="15.75" x14ac:dyDescent="0.25">
      <c r="A115" s="251" t="s">
        <v>157</v>
      </c>
      <c r="B115" s="252"/>
      <c r="C115" s="65">
        <f>+D99*0.5*0.5*1.25</f>
        <v>4.0625</v>
      </c>
      <c r="D115" s="66" t="s">
        <v>102</v>
      </c>
      <c r="E115" s="41">
        <v>20</v>
      </c>
      <c r="F115" s="41">
        <f t="shared" ref="F115:F120" si="7">+TRUNC(ROUND(E115*C115,2),2)</f>
        <v>81.25</v>
      </c>
    </row>
    <row r="116" spans="1:8" ht="15.75" x14ac:dyDescent="0.25">
      <c r="A116" s="236" t="s">
        <v>158</v>
      </c>
      <c r="B116" s="237"/>
      <c r="C116" s="28">
        <f>+D99*0.4*0.3*0.65</f>
        <v>1.014</v>
      </c>
      <c r="D116" s="27" t="s">
        <v>102</v>
      </c>
      <c r="E116" s="26">
        <v>15</v>
      </c>
      <c r="F116" s="26">
        <f t="shared" si="7"/>
        <v>15.21</v>
      </c>
    </row>
    <row r="117" spans="1:8" ht="15.75" x14ac:dyDescent="0.25">
      <c r="A117" s="236" t="s">
        <v>159</v>
      </c>
      <c r="B117" s="237"/>
      <c r="C117" s="28">
        <f>+C107*6</f>
        <v>259.74</v>
      </c>
      <c r="D117" s="27" t="s">
        <v>204</v>
      </c>
      <c r="E117" s="26">
        <v>1.2</v>
      </c>
      <c r="F117" s="26">
        <f t="shared" si="7"/>
        <v>311.69</v>
      </c>
    </row>
    <row r="118" spans="1:8" ht="15.75" x14ac:dyDescent="0.25">
      <c r="A118" s="236" t="s">
        <v>161</v>
      </c>
      <c r="B118" s="237"/>
      <c r="C118" s="28">
        <f>+C108*6</f>
        <v>0</v>
      </c>
      <c r="D118" s="27" t="s">
        <v>204</v>
      </c>
      <c r="E118" s="26">
        <v>0.8</v>
      </c>
      <c r="F118" s="26">
        <f t="shared" si="7"/>
        <v>0</v>
      </c>
    </row>
    <row r="119" spans="1:8" ht="15.75" x14ac:dyDescent="0.25">
      <c r="A119" s="236" t="s">
        <v>162</v>
      </c>
      <c r="B119" s="237"/>
      <c r="C119" s="28">
        <f>+E114</f>
        <v>0.65</v>
      </c>
      <c r="D119" s="27" t="s">
        <v>102</v>
      </c>
      <c r="E119" s="26">
        <v>40</v>
      </c>
      <c r="F119" s="26">
        <f t="shared" si="7"/>
        <v>26</v>
      </c>
    </row>
    <row r="120" spans="1:8" ht="15.75" x14ac:dyDescent="0.25">
      <c r="A120" s="236"/>
      <c r="B120" s="237"/>
      <c r="C120" s="28"/>
      <c r="D120" s="27"/>
      <c r="E120" s="26"/>
      <c r="F120" s="26">
        <f t="shared" si="7"/>
        <v>0</v>
      </c>
    </row>
    <row r="121" spans="1:8" ht="15.75" x14ac:dyDescent="0.25">
      <c r="A121" s="29"/>
      <c r="B121" s="30"/>
      <c r="C121" s="238" t="s">
        <v>96</v>
      </c>
      <c r="D121" s="239"/>
      <c r="E121" s="240"/>
      <c r="F121" s="26">
        <f>SUM(F115:F120)</f>
        <v>434.15</v>
      </c>
    </row>
    <row r="122" spans="1:8" ht="15.75" x14ac:dyDescent="0.25">
      <c r="A122" s="31"/>
      <c r="B122" s="68" t="s">
        <v>17</v>
      </c>
      <c r="C122" s="33">
        <f>+AYUDANTE</f>
        <v>40</v>
      </c>
      <c r="D122" s="27" t="s">
        <v>97</v>
      </c>
      <c r="E122" s="26"/>
      <c r="F122" s="23">
        <f>+TRUNC(ROUND(E122*C122,2),2)/100</f>
        <v>0</v>
      </c>
    </row>
    <row r="123" spans="1:8" ht="15.75" x14ac:dyDescent="0.25">
      <c r="A123" s="34"/>
      <c r="B123" s="35" t="s">
        <v>18</v>
      </c>
      <c r="C123" s="36">
        <f>+PRESTACIONES</f>
        <v>40</v>
      </c>
      <c r="D123" s="37" t="s">
        <v>97</v>
      </c>
      <c r="E123" s="38"/>
      <c r="F123" s="38">
        <f>+TRUNC(ROUND(E123*C123,2),2)/100</f>
        <v>0</v>
      </c>
    </row>
    <row r="124" spans="1:8" ht="15.75" x14ac:dyDescent="0.25">
      <c r="A124" s="39"/>
      <c r="B124" s="241" t="s">
        <v>16</v>
      </c>
      <c r="C124" s="241"/>
      <c r="D124" s="242"/>
      <c r="E124" s="40"/>
      <c r="F124" s="41">
        <f>+F123+F122+F121</f>
        <v>434.15</v>
      </c>
    </row>
    <row r="125" spans="1:8" ht="15" customHeight="1" x14ac:dyDescent="0.25">
      <c r="A125" s="22"/>
      <c r="B125" s="22"/>
      <c r="C125" s="22"/>
      <c r="D125" s="234" t="s">
        <v>98</v>
      </c>
      <c r="E125" s="235"/>
      <c r="F125" s="42">
        <f>+F124+F113</f>
        <v>1591.1299999999997</v>
      </c>
      <c r="G125" s="17">
        <f>+F125</f>
        <v>1591.1299999999997</v>
      </c>
      <c r="H125" s="17">
        <f>+F113+F124+F127</f>
        <v>1640.0859999999996</v>
      </c>
    </row>
    <row r="126" spans="1:8" ht="17.25" customHeight="1" x14ac:dyDescent="0.25">
      <c r="A126" s="22"/>
      <c r="B126" s="22"/>
      <c r="C126" s="22"/>
      <c r="D126" s="234" t="s">
        <v>99</v>
      </c>
      <c r="E126" s="235"/>
      <c r="F126" s="43">
        <f>+TRUNC(ROUND(F125/D99,2),2)</f>
        <v>122.39</v>
      </c>
      <c r="H126" s="18"/>
    </row>
    <row r="127" spans="1:8" ht="16.5" customHeight="1" x14ac:dyDescent="0.25">
      <c r="A127" s="22"/>
      <c r="B127" s="22"/>
      <c r="C127" s="22"/>
      <c r="D127" s="234" t="s">
        <v>100</v>
      </c>
      <c r="E127" s="235"/>
      <c r="F127" s="42">
        <f>+F126*INDIRECTOS</f>
        <v>48.956000000000003</v>
      </c>
      <c r="H127" s="17"/>
    </row>
    <row r="128" spans="1:8" ht="15.75" customHeight="1" x14ac:dyDescent="0.25">
      <c r="A128" s="22"/>
      <c r="B128" s="22"/>
      <c r="C128" s="22"/>
      <c r="D128" s="234" t="s">
        <v>101</v>
      </c>
      <c r="E128" s="235"/>
      <c r="F128" s="44">
        <f>+F127+F126</f>
        <v>171.346</v>
      </c>
    </row>
    <row r="129" spans="1:6" ht="15.75" customHeight="1" x14ac:dyDescent="0.25">
      <c r="A129" s="22"/>
      <c r="B129" s="22"/>
      <c r="C129" s="22"/>
      <c r="D129" s="63"/>
      <c r="E129" s="63"/>
      <c r="F129" s="64"/>
    </row>
    <row r="130" spans="1:6" ht="67.5" customHeight="1" x14ac:dyDescent="0.25">
      <c r="A130" s="45" t="s">
        <v>2</v>
      </c>
      <c r="B130" s="69">
        <v>3</v>
      </c>
      <c r="C130" s="46" t="s">
        <v>3</v>
      </c>
      <c r="D130" s="47" t="s">
        <v>107</v>
      </c>
      <c r="E130" s="48" t="s">
        <v>5</v>
      </c>
      <c r="F130" s="91" t="str">
        <f>F98</f>
        <v>CASA RUDY MAEDA</v>
      </c>
    </row>
    <row r="131" spans="1:6" ht="56.25" customHeight="1" x14ac:dyDescent="0.25">
      <c r="A131" s="49" t="s">
        <v>0</v>
      </c>
      <c r="B131" s="83" t="s">
        <v>109</v>
      </c>
      <c r="C131" s="50" t="s">
        <v>4</v>
      </c>
      <c r="D131" s="85">
        <f>68.98*0.8</f>
        <v>55.184000000000005</v>
      </c>
      <c r="E131" s="51" t="s">
        <v>7</v>
      </c>
      <c r="F131" s="21" t="str">
        <f>F99</f>
        <v>ALDEA EL TULE</v>
      </c>
    </row>
    <row r="132" spans="1:6" ht="15.75" x14ac:dyDescent="0.25">
      <c r="A132" s="52" t="s">
        <v>1</v>
      </c>
      <c r="B132" s="70">
        <v>3.1</v>
      </c>
      <c r="C132" s="53"/>
      <c r="D132" s="54"/>
      <c r="E132" s="55" t="s">
        <v>6</v>
      </c>
      <c r="F132" s="56">
        <f>+F100</f>
        <v>42436</v>
      </c>
    </row>
    <row r="133" spans="1:6" ht="15.75" x14ac:dyDescent="0.25">
      <c r="A133" s="57"/>
      <c r="B133" s="57"/>
      <c r="C133" s="57"/>
      <c r="D133" s="57"/>
      <c r="E133" s="57"/>
      <c r="F133" s="57"/>
    </row>
    <row r="134" spans="1:6" ht="28.5" x14ac:dyDescent="0.25">
      <c r="A134" s="243" t="s">
        <v>9</v>
      </c>
      <c r="B134" s="244"/>
      <c r="C134" s="67" t="s">
        <v>10</v>
      </c>
      <c r="D134" s="59" t="s">
        <v>11</v>
      </c>
      <c r="E134" s="60" t="s">
        <v>12</v>
      </c>
      <c r="F134" s="61" t="s">
        <v>13</v>
      </c>
    </row>
    <row r="135" spans="1:6" ht="15.75" x14ac:dyDescent="0.25">
      <c r="A135" s="245" t="s">
        <v>8</v>
      </c>
      <c r="B135" s="246"/>
      <c r="C135" s="22"/>
      <c r="D135" s="22"/>
      <c r="E135" s="22"/>
      <c r="F135" s="22"/>
    </row>
    <row r="136" spans="1:6" ht="15.75" x14ac:dyDescent="0.25">
      <c r="A136" s="247" t="s">
        <v>168</v>
      </c>
      <c r="B136" s="248"/>
      <c r="C136" s="23">
        <f>+D131*13</f>
        <v>717.39200000000005</v>
      </c>
      <c r="D136" s="24" t="s">
        <v>169</v>
      </c>
      <c r="E136" s="25">
        <f>+BLOCK1435</f>
        <v>2.65</v>
      </c>
      <c r="F136" s="23">
        <f t="shared" ref="F136:F143" si="8">+TRUNC(ROUND(E136*C136,2),2)</f>
        <v>1901.09</v>
      </c>
    </row>
    <row r="137" spans="1:6" ht="15.75" x14ac:dyDescent="0.25">
      <c r="A137" s="236" t="s">
        <v>155</v>
      </c>
      <c r="B137" s="237"/>
      <c r="C137" s="26">
        <f>+E144/3.65*35.7</f>
        <v>5.9911681315068508</v>
      </c>
      <c r="D137" s="27" t="s">
        <v>163</v>
      </c>
      <c r="E137" s="28">
        <v>72</v>
      </c>
      <c r="F137" s="26">
        <f t="shared" si="8"/>
        <v>431.36</v>
      </c>
    </row>
    <row r="138" spans="1:6" ht="15.75" x14ac:dyDescent="0.25">
      <c r="A138" s="236" t="s">
        <v>32</v>
      </c>
      <c r="B138" s="237"/>
      <c r="C138" s="26">
        <f>+E144*4/3.65</f>
        <v>0.67127934246575349</v>
      </c>
      <c r="D138" s="27" t="s">
        <v>102</v>
      </c>
      <c r="E138" s="28">
        <v>130</v>
      </c>
      <c r="F138" s="26">
        <f t="shared" si="8"/>
        <v>87.27</v>
      </c>
    </row>
    <row r="139" spans="1:6" ht="15.75" x14ac:dyDescent="0.25">
      <c r="A139" s="236"/>
      <c r="B139" s="237"/>
      <c r="C139" s="26"/>
      <c r="D139" s="27"/>
      <c r="E139" s="28"/>
      <c r="F139" s="26">
        <f t="shared" si="8"/>
        <v>0</v>
      </c>
    </row>
    <row r="140" spans="1:6" ht="15.75" x14ac:dyDescent="0.25">
      <c r="A140" s="236"/>
      <c r="B140" s="237"/>
      <c r="C140" s="26"/>
      <c r="D140" s="27"/>
      <c r="E140" s="28"/>
      <c r="F140" s="26">
        <f t="shared" si="8"/>
        <v>0</v>
      </c>
    </row>
    <row r="141" spans="1:6" ht="15.75" x14ac:dyDescent="0.25">
      <c r="A141" s="236"/>
      <c r="B141" s="237"/>
      <c r="C141" s="26"/>
      <c r="D141" s="27"/>
      <c r="E141" s="28"/>
      <c r="F141" s="26">
        <f t="shared" si="8"/>
        <v>0</v>
      </c>
    </row>
    <row r="142" spans="1:6" ht="15.75" x14ac:dyDescent="0.25">
      <c r="A142" s="236"/>
      <c r="B142" s="237"/>
      <c r="C142" s="26"/>
      <c r="D142" s="27"/>
      <c r="E142" s="28"/>
      <c r="F142" s="26">
        <f t="shared" si="8"/>
        <v>0</v>
      </c>
    </row>
    <row r="143" spans="1:6" ht="15.75" x14ac:dyDescent="0.25">
      <c r="A143" s="236"/>
      <c r="B143" s="237"/>
      <c r="C143" s="26"/>
      <c r="D143" s="27"/>
      <c r="E143" s="28"/>
      <c r="F143" s="26">
        <f t="shared" si="8"/>
        <v>0</v>
      </c>
    </row>
    <row r="144" spans="1:6" ht="15.75" x14ac:dyDescent="0.25">
      <c r="A144" s="39"/>
      <c r="B144" s="241" t="s">
        <v>14</v>
      </c>
      <c r="C144" s="241"/>
      <c r="D144" s="241"/>
      <c r="E144" s="84">
        <f>+D131*0.0111</f>
        <v>0.61254240000000004</v>
      </c>
      <c r="F144" s="41">
        <f>SUM(F136:F143)</f>
        <v>2419.7199999999998</v>
      </c>
    </row>
    <row r="145" spans="1:8" ht="15.75" x14ac:dyDescent="0.25">
      <c r="A145" s="249" t="s">
        <v>15</v>
      </c>
      <c r="B145" s="250"/>
      <c r="C145" s="22"/>
      <c r="D145" s="22"/>
      <c r="E145" s="22"/>
      <c r="F145" s="22"/>
    </row>
    <row r="146" spans="1:8" ht="15.75" x14ac:dyDescent="0.25">
      <c r="A146" s="251" t="s">
        <v>170</v>
      </c>
      <c r="B146" s="252"/>
      <c r="C146" s="65">
        <f>+D131</f>
        <v>55.184000000000005</v>
      </c>
      <c r="D146" s="66" t="s">
        <v>148</v>
      </c>
      <c r="E146" s="41">
        <v>28</v>
      </c>
      <c r="F146" s="41">
        <f t="shared" ref="F146:F151" si="9">+TRUNC(ROUND(E146*C146,2),2)</f>
        <v>1545.15</v>
      </c>
    </row>
    <row r="147" spans="1:8" ht="15.75" x14ac:dyDescent="0.25">
      <c r="A147" s="236"/>
      <c r="B147" s="237"/>
      <c r="C147" s="28"/>
      <c r="D147" s="27"/>
      <c r="E147" s="26"/>
      <c r="F147" s="26">
        <f t="shared" si="9"/>
        <v>0</v>
      </c>
    </row>
    <row r="148" spans="1:8" ht="15.75" x14ac:dyDescent="0.25">
      <c r="A148" s="236"/>
      <c r="B148" s="237"/>
      <c r="C148" s="28"/>
      <c r="D148" s="27"/>
      <c r="E148" s="26"/>
      <c r="F148" s="26">
        <f t="shared" si="9"/>
        <v>0</v>
      </c>
    </row>
    <row r="149" spans="1:8" ht="15.75" x14ac:dyDescent="0.25">
      <c r="A149" s="236"/>
      <c r="B149" s="237"/>
      <c r="C149" s="28"/>
      <c r="D149" s="27"/>
      <c r="E149" s="26"/>
      <c r="F149" s="26">
        <f t="shared" si="9"/>
        <v>0</v>
      </c>
    </row>
    <row r="150" spans="1:8" ht="15.75" x14ac:dyDescent="0.25">
      <c r="A150" s="236"/>
      <c r="B150" s="237"/>
      <c r="C150" s="28"/>
      <c r="D150" s="27"/>
      <c r="E150" s="26"/>
      <c r="F150" s="26">
        <f t="shared" si="9"/>
        <v>0</v>
      </c>
    </row>
    <row r="151" spans="1:8" ht="15.75" x14ac:dyDescent="0.25">
      <c r="A151" s="236"/>
      <c r="B151" s="237"/>
      <c r="C151" s="28"/>
      <c r="D151" s="27"/>
      <c r="E151" s="26"/>
      <c r="F151" s="26">
        <f t="shared" si="9"/>
        <v>0</v>
      </c>
    </row>
    <row r="152" spans="1:8" ht="15.75" x14ac:dyDescent="0.25">
      <c r="A152" s="29"/>
      <c r="B152" s="30"/>
      <c r="C152" s="238" t="s">
        <v>96</v>
      </c>
      <c r="D152" s="239"/>
      <c r="E152" s="240"/>
      <c r="F152" s="26">
        <f>SUM(F146:F151)</f>
        <v>1545.15</v>
      </c>
    </row>
    <row r="153" spans="1:8" ht="15.75" x14ac:dyDescent="0.25">
      <c r="A153" s="31"/>
      <c r="B153" s="68" t="s">
        <v>17</v>
      </c>
      <c r="C153" s="33">
        <f>+AYUDANTE</f>
        <v>40</v>
      </c>
      <c r="D153" s="27" t="s">
        <v>97</v>
      </c>
      <c r="E153" s="26"/>
      <c r="F153" s="23">
        <f>+TRUNC(ROUND(E153*C153,2),2)/100</f>
        <v>0</v>
      </c>
    </row>
    <row r="154" spans="1:8" ht="15.75" x14ac:dyDescent="0.25">
      <c r="A154" s="34"/>
      <c r="B154" s="35" t="s">
        <v>18</v>
      </c>
      <c r="C154" s="36">
        <f>+PRESTACIONES</f>
        <v>40</v>
      </c>
      <c r="D154" s="37" t="s">
        <v>97</v>
      </c>
      <c r="E154" s="38"/>
      <c r="F154" s="38">
        <f>+TRUNC(ROUND(E154*C154,2),2)/100</f>
        <v>0</v>
      </c>
    </row>
    <row r="155" spans="1:8" ht="15.75" x14ac:dyDescent="0.25">
      <c r="A155" s="39"/>
      <c r="B155" s="241" t="s">
        <v>16</v>
      </c>
      <c r="C155" s="241"/>
      <c r="D155" s="242"/>
      <c r="E155" s="40"/>
      <c r="F155" s="41">
        <f>+F154+F153+F152</f>
        <v>1545.15</v>
      </c>
    </row>
    <row r="156" spans="1:8" ht="15" customHeight="1" x14ac:dyDescent="0.25">
      <c r="A156" s="22"/>
      <c r="B156" s="22"/>
      <c r="C156" s="22"/>
      <c r="D156" s="234" t="s">
        <v>98</v>
      </c>
      <c r="E156" s="235"/>
      <c r="F156" s="42">
        <f>+F155+F144</f>
        <v>3964.87</v>
      </c>
      <c r="G156" s="17">
        <f>+F156</f>
        <v>3964.87</v>
      </c>
      <c r="H156" s="17">
        <f>+F144+F155+F158</f>
        <v>3993.6099999999997</v>
      </c>
    </row>
    <row r="157" spans="1:8" ht="17.25" customHeight="1" x14ac:dyDescent="0.25">
      <c r="A157" s="22"/>
      <c r="B157" s="22"/>
      <c r="C157" s="22"/>
      <c r="D157" s="234" t="s">
        <v>99</v>
      </c>
      <c r="E157" s="235"/>
      <c r="F157" s="43">
        <f>+TRUNC(ROUND(F156/D131,2),2)</f>
        <v>71.849999999999994</v>
      </c>
      <c r="H157" s="18"/>
    </row>
    <row r="158" spans="1:8" ht="16.5" customHeight="1" x14ac:dyDescent="0.25">
      <c r="A158" s="22"/>
      <c r="B158" s="22"/>
      <c r="C158" s="22"/>
      <c r="D158" s="234" t="s">
        <v>100</v>
      </c>
      <c r="E158" s="235"/>
      <c r="F158" s="42">
        <f>+F157*INDIRECTOS</f>
        <v>28.74</v>
      </c>
      <c r="H158" s="17"/>
    </row>
    <row r="159" spans="1:8" ht="15.75" customHeight="1" x14ac:dyDescent="0.25">
      <c r="A159" s="22"/>
      <c r="B159" s="22"/>
      <c r="C159" s="22"/>
      <c r="D159" s="234" t="s">
        <v>101</v>
      </c>
      <c r="E159" s="235"/>
      <c r="F159" s="44">
        <f>+F158+F157</f>
        <v>100.58999999999999</v>
      </c>
    </row>
    <row r="160" spans="1:8" ht="15.75" customHeight="1" x14ac:dyDescent="0.25">
      <c r="A160" s="22"/>
      <c r="B160" s="22"/>
      <c r="C160" s="22"/>
      <c r="D160" s="63"/>
      <c r="E160" s="63"/>
      <c r="F160" s="64"/>
    </row>
    <row r="161" spans="1:12" ht="67.5" customHeight="1" x14ac:dyDescent="0.25">
      <c r="A161" s="45" t="s">
        <v>2</v>
      </c>
      <c r="B161" s="69">
        <v>3</v>
      </c>
      <c r="C161" s="46" t="s">
        <v>3</v>
      </c>
      <c r="D161" s="47" t="s">
        <v>107</v>
      </c>
      <c r="E161" s="48" t="s">
        <v>5</v>
      </c>
      <c r="F161" s="91" t="str">
        <f>F130</f>
        <v>CASA RUDY MAEDA</v>
      </c>
      <c r="K161" s="17"/>
      <c r="L161" s="17"/>
    </row>
    <row r="162" spans="1:12" ht="75" customHeight="1" x14ac:dyDescent="0.25">
      <c r="A162" s="49" t="s">
        <v>0</v>
      </c>
      <c r="B162" s="83" t="s">
        <v>207</v>
      </c>
      <c r="C162" s="50" t="s">
        <v>4</v>
      </c>
      <c r="D162" s="85">
        <v>53.35</v>
      </c>
      <c r="E162" s="51" t="s">
        <v>7</v>
      </c>
      <c r="F162" s="21" t="str">
        <f>F131</f>
        <v>ALDEA EL TULE</v>
      </c>
    </row>
    <row r="163" spans="1:12" ht="15.75" x14ac:dyDescent="0.25">
      <c r="A163" s="52" t="s">
        <v>1</v>
      </c>
      <c r="B163" s="70">
        <v>3.2</v>
      </c>
      <c r="C163" s="53"/>
      <c r="D163" s="54"/>
      <c r="E163" s="55" t="s">
        <v>6</v>
      </c>
      <c r="F163" s="56">
        <f>+F132</f>
        <v>42436</v>
      </c>
    </row>
    <row r="164" spans="1:12" ht="15.75" x14ac:dyDescent="0.25">
      <c r="A164" s="57"/>
      <c r="B164" s="57"/>
      <c r="C164" s="57"/>
      <c r="D164" s="57"/>
      <c r="E164" s="57"/>
      <c r="F164" s="57"/>
    </row>
    <row r="165" spans="1:12" ht="28.5" x14ac:dyDescent="0.25">
      <c r="A165" s="243" t="s">
        <v>9</v>
      </c>
      <c r="B165" s="244"/>
      <c r="C165" s="67" t="s">
        <v>10</v>
      </c>
      <c r="D165" s="59" t="s">
        <v>11</v>
      </c>
      <c r="E165" s="60" t="s">
        <v>12</v>
      </c>
      <c r="F165" s="61" t="s">
        <v>13</v>
      </c>
    </row>
    <row r="166" spans="1:12" ht="15.75" x14ac:dyDescent="0.25">
      <c r="A166" s="245" t="s">
        <v>8</v>
      </c>
      <c r="B166" s="246"/>
      <c r="C166" s="22"/>
      <c r="D166" s="22"/>
      <c r="E166" s="22"/>
      <c r="F166" s="22"/>
    </row>
    <row r="167" spans="1:12" ht="15.75" x14ac:dyDescent="0.25">
      <c r="A167" s="247" t="s">
        <v>168</v>
      </c>
      <c r="B167" s="248"/>
      <c r="C167" s="23">
        <f>+D162*13</f>
        <v>693.55000000000007</v>
      </c>
      <c r="D167" s="24" t="s">
        <v>169</v>
      </c>
      <c r="E167" s="25">
        <f>+BLOCK1435</f>
        <v>2.65</v>
      </c>
      <c r="F167" s="23">
        <f t="shared" ref="F167:F174" si="10">+TRUNC(ROUND(E167*C167,2),2)</f>
        <v>1837.91</v>
      </c>
    </row>
    <row r="168" spans="1:12" ht="15.75" x14ac:dyDescent="0.25">
      <c r="A168" s="236" t="s">
        <v>155</v>
      </c>
      <c r="B168" s="237"/>
      <c r="C168" s="26">
        <f>+E176/3.65*35.7</f>
        <v>5.7920560273972619</v>
      </c>
      <c r="D168" s="27" t="s">
        <v>163</v>
      </c>
      <c r="E168" s="28">
        <v>72</v>
      </c>
      <c r="F168" s="26">
        <f t="shared" si="10"/>
        <v>417.03</v>
      </c>
    </row>
    <row r="169" spans="1:12" ht="15.75" x14ac:dyDescent="0.25">
      <c r="A169" s="236" t="s">
        <v>32</v>
      </c>
      <c r="B169" s="237"/>
      <c r="C169" s="26">
        <f>+E176*4/3.65</f>
        <v>0.64896986301369874</v>
      </c>
      <c r="D169" s="27" t="s">
        <v>102</v>
      </c>
      <c r="E169" s="28">
        <v>130</v>
      </c>
      <c r="F169" s="26">
        <f t="shared" si="10"/>
        <v>84.37</v>
      </c>
    </row>
    <row r="170" spans="1:12" ht="15.75" x14ac:dyDescent="0.25">
      <c r="A170" s="236"/>
      <c r="B170" s="237"/>
      <c r="C170" s="26"/>
      <c r="D170" s="27"/>
      <c r="E170" s="28"/>
      <c r="F170" s="26">
        <f t="shared" si="10"/>
        <v>0</v>
      </c>
    </row>
    <row r="171" spans="1:12" ht="15.75" x14ac:dyDescent="0.25">
      <c r="A171" s="236"/>
      <c r="B171" s="237"/>
      <c r="C171" s="26"/>
      <c r="D171" s="27"/>
      <c r="E171" s="28"/>
      <c r="F171" s="26">
        <f t="shared" si="10"/>
        <v>0</v>
      </c>
    </row>
    <row r="172" spans="1:12" ht="15.75" x14ac:dyDescent="0.25">
      <c r="A172" s="236"/>
      <c r="B172" s="237"/>
      <c r="C172" s="26"/>
      <c r="D172" s="27"/>
      <c r="E172" s="28"/>
      <c r="F172" s="26">
        <f t="shared" si="10"/>
        <v>0</v>
      </c>
    </row>
    <row r="173" spans="1:12" ht="15.75" x14ac:dyDescent="0.25">
      <c r="A173" s="236"/>
      <c r="B173" s="237"/>
      <c r="C173" s="93"/>
      <c r="D173" s="27"/>
      <c r="E173" s="28"/>
      <c r="F173" s="26">
        <f t="shared" si="10"/>
        <v>0</v>
      </c>
    </row>
    <row r="174" spans="1:12" ht="15.75" x14ac:dyDescent="0.25">
      <c r="A174" s="236"/>
      <c r="B174" s="237"/>
      <c r="C174" s="26"/>
      <c r="D174" s="27"/>
      <c r="E174" s="28"/>
      <c r="F174" s="26">
        <f t="shared" si="10"/>
        <v>0</v>
      </c>
    </row>
    <row r="175" spans="1:12" ht="15.75" x14ac:dyDescent="0.25">
      <c r="A175" s="39"/>
      <c r="B175" s="241" t="s">
        <v>14</v>
      </c>
      <c r="C175" s="241"/>
      <c r="D175" s="241"/>
      <c r="E175" s="62"/>
      <c r="F175" s="41">
        <f>SUM(F167:F174)</f>
        <v>2339.31</v>
      </c>
    </row>
    <row r="176" spans="1:12" ht="15.75" x14ac:dyDescent="0.25">
      <c r="A176" s="249" t="s">
        <v>15</v>
      </c>
      <c r="B176" s="250"/>
      <c r="C176" s="22"/>
      <c r="D176" s="22"/>
      <c r="E176" s="84">
        <f>+D162*0.0111</f>
        <v>0.59218500000000007</v>
      </c>
      <c r="F176" s="22"/>
    </row>
    <row r="177" spans="1:8" ht="15.75" x14ac:dyDescent="0.25">
      <c r="A177" s="251" t="s">
        <v>171</v>
      </c>
      <c r="B177" s="252"/>
      <c r="C177" s="65">
        <f>+D162</f>
        <v>53.35</v>
      </c>
      <c r="D177" s="66" t="s">
        <v>148</v>
      </c>
      <c r="E177" s="41">
        <v>35</v>
      </c>
      <c r="F177" s="41">
        <f t="shared" ref="F177:F182" si="11">+TRUNC(ROUND(E177*C177,2),2)</f>
        <v>1867.25</v>
      </c>
    </row>
    <row r="178" spans="1:8" ht="15.75" x14ac:dyDescent="0.25">
      <c r="A178" s="236"/>
      <c r="B178" s="237"/>
      <c r="C178" s="28"/>
      <c r="D178" s="27"/>
      <c r="E178" s="26"/>
      <c r="F178" s="26">
        <f t="shared" si="11"/>
        <v>0</v>
      </c>
    </row>
    <row r="179" spans="1:8" ht="15.75" x14ac:dyDescent="0.25">
      <c r="A179" s="236"/>
      <c r="B179" s="237"/>
      <c r="C179" s="28"/>
      <c r="D179" s="27"/>
      <c r="E179" s="26"/>
      <c r="F179" s="26">
        <f t="shared" si="11"/>
        <v>0</v>
      </c>
    </row>
    <row r="180" spans="1:8" ht="15.75" x14ac:dyDescent="0.25">
      <c r="A180" s="236"/>
      <c r="B180" s="237"/>
      <c r="C180" s="28"/>
      <c r="D180" s="27"/>
      <c r="E180" s="26"/>
      <c r="F180" s="26">
        <f t="shared" si="11"/>
        <v>0</v>
      </c>
    </row>
    <row r="181" spans="1:8" ht="15.75" x14ac:dyDescent="0.25">
      <c r="A181" s="236"/>
      <c r="B181" s="237"/>
      <c r="C181" s="28"/>
      <c r="D181" s="27"/>
      <c r="E181" s="26"/>
      <c r="F181" s="26">
        <f t="shared" si="11"/>
        <v>0</v>
      </c>
    </row>
    <row r="182" spans="1:8" ht="15.75" x14ac:dyDescent="0.25">
      <c r="A182" s="236"/>
      <c r="B182" s="237"/>
      <c r="C182" s="28"/>
      <c r="D182" s="27"/>
      <c r="E182" s="26"/>
      <c r="F182" s="26">
        <f t="shared" si="11"/>
        <v>0</v>
      </c>
    </row>
    <row r="183" spans="1:8" ht="15.75" x14ac:dyDescent="0.25">
      <c r="A183" s="29"/>
      <c r="B183" s="30"/>
      <c r="C183" s="238" t="s">
        <v>96</v>
      </c>
      <c r="D183" s="239"/>
      <c r="E183" s="240"/>
      <c r="F183" s="26">
        <f>SUM(F177:F182)</f>
        <v>1867.25</v>
      </c>
    </row>
    <row r="184" spans="1:8" ht="15.75" x14ac:dyDescent="0.25">
      <c r="A184" s="31"/>
      <c r="B184" s="68" t="s">
        <v>17</v>
      </c>
      <c r="C184" s="33">
        <f>+AYUDANTE</f>
        <v>40</v>
      </c>
      <c r="D184" s="27" t="s">
        <v>97</v>
      </c>
      <c r="E184" s="26"/>
      <c r="F184" s="23">
        <f>+TRUNC(ROUND(E184*C184,2),2)/100</f>
        <v>0</v>
      </c>
    </row>
    <row r="185" spans="1:8" ht="15.75" x14ac:dyDescent="0.25">
      <c r="A185" s="34"/>
      <c r="B185" s="35" t="s">
        <v>18</v>
      </c>
      <c r="C185" s="36">
        <f>+PRESTACIONES</f>
        <v>40</v>
      </c>
      <c r="D185" s="37" t="s">
        <v>97</v>
      </c>
      <c r="E185" s="38"/>
      <c r="F185" s="38">
        <f>+TRUNC(ROUND(E185*C185,2),2)/100</f>
        <v>0</v>
      </c>
    </row>
    <row r="186" spans="1:8" ht="15.75" x14ac:dyDescent="0.25">
      <c r="A186" s="39"/>
      <c r="B186" s="241" t="s">
        <v>16</v>
      </c>
      <c r="C186" s="241"/>
      <c r="D186" s="242"/>
      <c r="E186" s="40"/>
      <c r="F186" s="41">
        <f>+F185+F184+F183</f>
        <v>1867.25</v>
      </c>
    </row>
    <row r="187" spans="1:8" ht="15" customHeight="1" x14ac:dyDescent="0.25">
      <c r="A187" s="22"/>
      <c r="B187" s="22"/>
      <c r="C187" s="22"/>
      <c r="D187" s="234" t="s">
        <v>98</v>
      </c>
      <c r="E187" s="235"/>
      <c r="F187" s="42">
        <f>+F186+F175</f>
        <v>4206.5599999999995</v>
      </c>
      <c r="G187" s="17">
        <f>+F187</f>
        <v>4206.5599999999995</v>
      </c>
      <c r="H187" s="17">
        <f>+F175+F186+F189</f>
        <v>4238.0999999999995</v>
      </c>
    </row>
    <row r="188" spans="1:8" ht="17.25" customHeight="1" x14ac:dyDescent="0.25">
      <c r="A188" s="22"/>
      <c r="B188" s="22"/>
      <c r="C188" s="22"/>
      <c r="D188" s="234" t="s">
        <v>99</v>
      </c>
      <c r="E188" s="235"/>
      <c r="F188" s="43">
        <f>+TRUNC(ROUND(F187/D162,2),2)</f>
        <v>78.849999999999994</v>
      </c>
      <c r="H188" s="18"/>
    </row>
    <row r="189" spans="1:8" ht="16.5" customHeight="1" x14ac:dyDescent="0.25">
      <c r="A189" s="22"/>
      <c r="B189" s="22"/>
      <c r="C189" s="22"/>
      <c r="D189" s="234" t="s">
        <v>100</v>
      </c>
      <c r="E189" s="235"/>
      <c r="F189" s="42">
        <f>+F188*INDIRECTOS</f>
        <v>31.54</v>
      </c>
      <c r="H189" s="17"/>
    </row>
    <row r="190" spans="1:8" ht="15.75" customHeight="1" x14ac:dyDescent="0.25">
      <c r="A190" s="22"/>
      <c r="B190" s="22"/>
      <c r="C190" s="22"/>
      <c r="D190" s="234" t="s">
        <v>101</v>
      </c>
      <c r="E190" s="235"/>
      <c r="F190" s="44">
        <f>+F189+F188</f>
        <v>110.38999999999999</v>
      </c>
    </row>
    <row r="191" spans="1:8" ht="15.75" customHeight="1" x14ac:dyDescent="0.25">
      <c r="A191" s="22"/>
      <c r="B191" s="22"/>
      <c r="C191" s="22"/>
      <c r="D191" s="63"/>
      <c r="E191" s="63"/>
      <c r="F191" s="64"/>
    </row>
    <row r="192" spans="1:8" ht="67.5" customHeight="1" x14ac:dyDescent="0.25">
      <c r="A192" s="45" t="s">
        <v>2</v>
      </c>
      <c r="B192" s="69">
        <v>3</v>
      </c>
      <c r="C192" s="46" t="s">
        <v>3</v>
      </c>
      <c r="D192" s="47" t="s">
        <v>107</v>
      </c>
      <c r="E192" s="48" t="s">
        <v>5</v>
      </c>
      <c r="F192" s="91" t="str">
        <f>F161</f>
        <v>CASA RUDY MAEDA</v>
      </c>
    </row>
    <row r="193" spans="1:6" ht="75" customHeight="1" x14ac:dyDescent="0.25">
      <c r="A193" s="49" t="s">
        <v>0</v>
      </c>
      <c r="B193" s="83" t="s">
        <v>220</v>
      </c>
      <c r="C193" s="50" t="s">
        <v>4</v>
      </c>
      <c r="D193" s="85">
        <v>65.180000000000007</v>
      </c>
      <c r="E193" s="51" t="s">
        <v>7</v>
      </c>
      <c r="F193" s="21" t="str">
        <f>F162</f>
        <v>ALDEA EL TULE</v>
      </c>
    </row>
    <row r="194" spans="1:6" ht="15.75" x14ac:dyDescent="0.25">
      <c r="A194" s="52" t="s">
        <v>1</v>
      </c>
      <c r="B194" s="70">
        <v>3.3</v>
      </c>
      <c r="C194" s="53"/>
      <c r="D194" s="54"/>
      <c r="E194" s="55" t="s">
        <v>6</v>
      </c>
      <c r="F194" s="56">
        <f>+F163</f>
        <v>42436</v>
      </c>
    </row>
    <row r="195" spans="1:6" ht="15.75" x14ac:dyDescent="0.25">
      <c r="A195" s="57"/>
      <c r="B195" s="57"/>
      <c r="C195" s="57"/>
      <c r="D195" s="57"/>
      <c r="E195" s="57"/>
      <c r="F195" s="57"/>
    </row>
    <row r="196" spans="1:6" ht="28.5" x14ac:dyDescent="0.25">
      <c r="A196" s="243" t="s">
        <v>9</v>
      </c>
      <c r="B196" s="244"/>
      <c r="C196" s="73" t="s">
        <v>10</v>
      </c>
      <c r="D196" s="59" t="s">
        <v>11</v>
      </c>
      <c r="E196" s="60" t="s">
        <v>12</v>
      </c>
      <c r="F196" s="61" t="s">
        <v>13</v>
      </c>
    </row>
    <row r="197" spans="1:6" ht="15.75" x14ac:dyDescent="0.25">
      <c r="A197" s="245" t="s">
        <v>8</v>
      </c>
      <c r="B197" s="246"/>
      <c r="C197" s="22"/>
      <c r="D197" s="22"/>
      <c r="E197" s="22"/>
      <c r="F197" s="22"/>
    </row>
    <row r="198" spans="1:6" ht="15.75" x14ac:dyDescent="0.25">
      <c r="A198" s="247" t="s">
        <v>172</v>
      </c>
      <c r="B198" s="248"/>
      <c r="C198" s="23">
        <f>+D193*13</f>
        <v>847.34000000000015</v>
      </c>
      <c r="D198" s="24" t="s">
        <v>169</v>
      </c>
      <c r="E198" s="25">
        <v>2</v>
      </c>
      <c r="F198" s="23">
        <f t="shared" ref="F198:F205" si="12">+TRUNC(ROUND(E198*C198,2),2)</f>
        <v>1694.68</v>
      </c>
    </row>
    <row r="199" spans="1:6" ht="15.75" x14ac:dyDescent="0.25">
      <c r="A199" s="236" t="s">
        <v>155</v>
      </c>
      <c r="B199" s="237"/>
      <c r="C199" s="26">
        <f>+E207/3.65*35.7</f>
        <v>4.7176033972602758</v>
      </c>
      <c r="D199" s="27" t="s">
        <v>163</v>
      </c>
      <c r="E199" s="28">
        <v>72</v>
      </c>
      <c r="F199" s="26">
        <f t="shared" si="12"/>
        <v>339.67</v>
      </c>
    </row>
    <row r="200" spans="1:6" ht="15.75" x14ac:dyDescent="0.25">
      <c r="A200" s="236" t="s">
        <v>32</v>
      </c>
      <c r="B200" s="237"/>
      <c r="C200" s="26">
        <f>+E207*4/3.65</f>
        <v>0.52858301369863026</v>
      </c>
      <c r="D200" s="27" t="s">
        <v>102</v>
      </c>
      <c r="E200" s="28">
        <v>130</v>
      </c>
      <c r="F200" s="26">
        <f t="shared" si="12"/>
        <v>68.72</v>
      </c>
    </row>
    <row r="201" spans="1:6" ht="15.75" x14ac:dyDescent="0.25">
      <c r="A201" s="236"/>
      <c r="B201" s="237"/>
      <c r="C201" s="26"/>
      <c r="D201" s="27"/>
      <c r="E201" s="28"/>
      <c r="F201" s="26">
        <f t="shared" si="12"/>
        <v>0</v>
      </c>
    </row>
    <row r="202" spans="1:6" ht="15.75" x14ac:dyDescent="0.25">
      <c r="A202" s="236"/>
      <c r="B202" s="237"/>
      <c r="C202" s="26"/>
      <c r="D202" s="27"/>
      <c r="E202" s="28"/>
      <c r="F202" s="26">
        <f t="shared" si="12"/>
        <v>0</v>
      </c>
    </row>
    <row r="203" spans="1:6" ht="15.75" x14ac:dyDescent="0.25">
      <c r="A203" s="236"/>
      <c r="B203" s="237"/>
      <c r="C203" s="26"/>
      <c r="D203" s="27"/>
      <c r="E203" s="28"/>
      <c r="F203" s="26">
        <f t="shared" si="12"/>
        <v>0</v>
      </c>
    </row>
    <row r="204" spans="1:6" ht="15.75" x14ac:dyDescent="0.25">
      <c r="A204" s="236"/>
      <c r="B204" s="237"/>
      <c r="C204" s="26"/>
      <c r="D204" s="27"/>
      <c r="E204" s="28"/>
      <c r="F204" s="26">
        <f t="shared" si="12"/>
        <v>0</v>
      </c>
    </row>
    <row r="205" spans="1:6" ht="15.75" x14ac:dyDescent="0.25">
      <c r="A205" s="236"/>
      <c r="B205" s="237"/>
      <c r="C205" s="26"/>
      <c r="D205" s="27"/>
      <c r="E205" s="28"/>
      <c r="F205" s="26">
        <f t="shared" si="12"/>
        <v>0</v>
      </c>
    </row>
    <row r="206" spans="1:6" ht="15.75" x14ac:dyDescent="0.25">
      <c r="A206" s="39"/>
      <c r="B206" s="241" t="s">
        <v>14</v>
      </c>
      <c r="C206" s="241"/>
      <c r="D206" s="241"/>
      <c r="E206" s="62"/>
      <c r="F206" s="41">
        <f>SUM(F198:F205)</f>
        <v>2103.0700000000002</v>
      </c>
    </row>
    <row r="207" spans="1:6" ht="15.75" x14ac:dyDescent="0.25">
      <c r="A207" s="249" t="s">
        <v>15</v>
      </c>
      <c r="B207" s="250"/>
      <c r="C207" s="22"/>
      <c r="D207" s="22"/>
      <c r="E207" s="84">
        <f>+D193*0.0074</f>
        <v>0.48233200000000009</v>
      </c>
      <c r="F207" s="22"/>
    </row>
    <row r="208" spans="1:6" ht="15.75" x14ac:dyDescent="0.25">
      <c r="A208" s="251" t="s">
        <v>173</v>
      </c>
      <c r="B208" s="252"/>
      <c r="C208" s="65">
        <f>+D193</f>
        <v>65.180000000000007</v>
      </c>
      <c r="D208" s="66" t="s">
        <v>148</v>
      </c>
      <c r="E208" s="41">
        <v>45</v>
      </c>
      <c r="F208" s="41">
        <f t="shared" ref="F208:F213" si="13">+TRUNC(ROUND(E208*C208,2),2)</f>
        <v>2933.1</v>
      </c>
    </row>
    <row r="209" spans="1:8" ht="15.75" x14ac:dyDescent="0.25">
      <c r="A209" s="236"/>
      <c r="B209" s="237"/>
      <c r="C209" s="28"/>
      <c r="D209" s="27"/>
      <c r="E209" s="26"/>
      <c r="F209" s="26">
        <f t="shared" si="13"/>
        <v>0</v>
      </c>
    </row>
    <row r="210" spans="1:8" ht="15.75" x14ac:dyDescent="0.25">
      <c r="A210" s="236"/>
      <c r="B210" s="237"/>
      <c r="C210" s="28"/>
      <c r="D210" s="27"/>
      <c r="E210" s="26"/>
      <c r="F210" s="26">
        <f t="shared" si="13"/>
        <v>0</v>
      </c>
    </row>
    <row r="211" spans="1:8" ht="15.75" x14ac:dyDescent="0.25">
      <c r="A211" s="236"/>
      <c r="B211" s="237"/>
      <c r="C211" s="28"/>
      <c r="D211" s="27"/>
      <c r="E211" s="26"/>
      <c r="F211" s="26">
        <f t="shared" si="13"/>
        <v>0</v>
      </c>
    </row>
    <row r="212" spans="1:8" ht="15.75" x14ac:dyDescent="0.25">
      <c r="A212" s="236"/>
      <c r="B212" s="237"/>
      <c r="C212" s="28"/>
      <c r="D212" s="27"/>
      <c r="E212" s="26"/>
      <c r="F212" s="26">
        <f t="shared" si="13"/>
        <v>0</v>
      </c>
    </row>
    <row r="213" spans="1:8" ht="15.75" x14ac:dyDescent="0.25">
      <c r="A213" s="236"/>
      <c r="B213" s="237"/>
      <c r="C213" s="28"/>
      <c r="D213" s="27"/>
      <c r="E213" s="26"/>
      <c r="F213" s="26">
        <f t="shared" si="13"/>
        <v>0</v>
      </c>
    </row>
    <row r="214" spans="1:8" ht="15.75" x14ac:dyDescent="0.25">
      <c r="A214" s="29"/>
      <c r="B214" s="30"/>
      <c r="C214" s="238" t="s">
        <v>96</v>
      </c>
      <c r="D214" s="239"/>
      <c r="E214" s="240"/>
      <c r="F214" s="26">
        <f>SUM(F208:F213)</f>
        <v>2933.1</v>
      </c>
    </row>
    <row r="215" spans="1:8" ht="15.75" x14ac:dyDescent="0.25">
      <c r="A215" s="31"/>
      <c r="B215" s="74" t="s">
        <v>17</v>
      </c>
      <c r="C215" s="33">
        <f>+AYUDANTE</f>
        <v>40</v>
      </c>
      <c r="D215" s="27" t="s">
        <v>97</v>
      </c>
      <c r="E215" s="26"/>
      <c r="F215" s="23">
        <f>+TRUNC(ROUND(E215*C215,2),2)/100</f>
        <v>0</v>
      </c>
    </row>
    <row r="216" spans="1:8" ht="15.75" x14ac:dyDescent="0.25">
      <c r="A216" s="34"/>
      <c r="B216" s="35" t="s">
        <v>18</v>
      </c>
      <c r="C216" s="36">
        <f>+PRESTACIONES</f>
        <v>40</v>
      </c>
      <c r="D216" s="37" t="s">
        <v>97</v>
      </c>
      <c r="E216" s="38"/>
      <c r="F216" s="38">
        <f>+TRUNC(ROUND(E216*C216,2),2)/100</f>
        <v>0</v>
      </c>
    </row>
    <row r="217" spans="1:8" ht="15.75" x14ac:dyDescent="0.25">
      <c r="A217" s="39"/>
      <c r="B217" s="241" t="s">
        <v>16</v>
      </c>
      <c r="C217" s="241"/>
      <c r="D217" s="242"/>
      <c r="E217" s="40"/>
      <c r="F217" s="41">
        <f>+F216+F215+F214</f>
        <v>2933.1</v>
      </c>
    </row>
    <row r="218" spans="1:8" ht="15" customHeight="1" x14ac:dyDescent="0.25">
      <c r="A218" s="22"/>
      <c r="B218" s="22"/>
      <c r="C218" s="22"/>
      <c r="D218" s="234" t="s">
        <v>98</v>
      </c>
      <c r="E218" s="235"/>
      <c r="F218" s="42">
        <f>+F217+F206</f>
        <v>5036.17</v>
      </c>
      <c r="G218" s="17">
        <f>+F218</f>
        <v>5036.17</v>
      </c>
      <c r="H218" s="17">
        <f>+F206+F217+F220</f>
        <v>5067.0780000000004</v>
      </c>
    </row>
    <row r="219" spans="1:8" ht="17.25" customHeight="1" x14ac:dyDescent="0.25">
      <c r="A219" s="22"/>
      <c r="B219" s="22"/>
      <c r="C219" s="22"/>
      <c r="D219" s="234" t="s">
        <v>99</v>
      </c>
      <c r="E219" s="235"/>
      <c r="F219" s="43">
        <f>+TRUNC(ROUND(F218/D193,2),2)</f>
        <v>77.27</v>
      </c>
      <c r="H219" s="18"/>
    </row>
    <row r="220" spans="1:8" ht="16.5" customHeight="1" x14ac:dyDescent="0.25">
      <c r="A220" s="22"/>
      <c r="B220" s="22"/>
      <c r="C220" s="22"/>
      <c r="D220" s="234" t="s">
        <v>100</v>
      </c>
      <c r="E220" s="235"/>
      <c r="F220" s="42">
        <f>+F219*INDIRECTOS</f>
        <v>30.908000000000001</v>
      </c>
      <c r="H220" s="17"/>
    </row>
    <row r="221" spans="1:8" ht="15.75" customHeight="1" x14ac:dyDescent="0.25">
      <c r="A221" s="22"/>
      <c r="B221" s="22"/>
      <c r="C221" s="22"/>
      <c r="D221" s="234" t="s">
        <v>101</v>
      </c>
      <c r="E221" s="235"/>
      <c r="F221" s="44">
        <f>+F220+F219</f>
        <v>108.178</v>
      </c>
    </row>
    <row r="222" spans="1:8" ht="15.75" customHeight="1" x14ac:dyDescent="0.25">
      <c r="A222" s="22"/>
      <c r="B222" s="22"/>
      <c r="C222" s="22"/>
      <c r="D222" s="213"/>
      <c r="E222" s="213"/>
      <c r="F222" s="214"/>
    </row>
    <row r="223" spans="1:8" ht="15.75" customHeight="1" x14ac:dyDescent="0.25">
      <c r="A223" s="22"/>
      <c r="B223" s="22"/>
      <c r="C223" s="22"/>
      <c r="D223" s="213"/>
      <c r="E223" s="213"/>
      <c r="F223" s="214"/>
    </row>
    <row r="224" spans="1:8" ht="67.5" customHeight="1" x14ac:dyDescent="0.25">
      <c r="A224" s="45" t="s">
        <v>2</v>
      </c>
      <c r="B224" s="69">
        <v>3</v>
      </c>
      <c r="C224" s="46" t="s">
        <v>3</v>
      </c>
      <c r="D224" s="47" t="s">
        <v>107</v>
      </c>
      <c r="E224" s="48" t="s">
        <v>5</v>
      </c>
      <c r="F224" s="91" t="str">
        <f>F192</f>
        <v>CASA RUDY MAEDA</v>
      </c>
    </row>
    <row r="225" spans="1:6" ht="75" customHeight="1" x14ac:dyDescent="0.25">
      <c r="A225" s="49" t="s">
        <v>0</v>
      </c>
      <c r="B225" s="83" t="s">
        <v>221</v>
      </c>
      <c r="C225" s="50" t="s">
        <v>4</v>
      </c>
      <c r="D225" s="85">
        <v>29.41</v>
      </c>
      <c r="E225" s="51" t="s">
        <v>7</v>
      </c>
      <c r="F225" s="21" t="str">
        <f>F193</f>
        <v>ALDEA EL TULE</v>
      </c>
    </row>
    <row r="226" spans="1:6" ht="15.75" x14ac:dyDescent="0.25">
      <c r="A226" s="52" t="s">
        <v>1</v>
      </c>
      <c r="B226" s="70">
        <v>3.4</v>
      </c>
      <c r="C226" s="53"/>
      <c r="D226" s="54"/>
      <c r="E226" s="55" t="s">
        <v>6</v>
      </c>
      <c r="F226" s="56">
        <f>F194</f>
        <v>42436</v>
      </c>
    </row>
    <row r="227" spans="1:6" ht="15.75" x14ac:dyDescent="0.25">
      <c r="A227" s="57"/>
      <c r="B227" s="57"/>
      <c r="C227" s="57"/>
      <c r="D227" s="57"/>
      <c r="E227" s="57"/>
      <c r="F227" s="57"/>
    </row>
    <row r="228" spans="1:6" ht="28.5" x14ac:dyDescent="0.25">
      <c r="A228" s="243" t="s">
        <v>9</v>
      </c>
      <c r="B228" s="244"/>
      <c r="C228" s="211" t="s">
        <v>10</v>
      </c>
      <c r="D228" s="59" t="s">
        <v>11</v>
      </c>
      <c r="E228" s="60" t="s">
        <v>12</v>
      </c>
      <c r="F228" s="61" t="s">
        <v>13</v>
      </c>
    </row>
    <row r="229" spans="1:6" ht="15.75" x14ac:dyDescent="0.25">
      <c r="A229" s="245" t="s">
        <v>8</v>
      </c>
      <c r="B229" s="246"/>
      <c r="C229" s="22"/>
      <c r="D229" s="22"/>
      <c r="E229" s="22"/>
      <c r="F229" s="22"/>
    </row>
    <row r="230" spans="1:6" ht="15.75" x14ac:dyDescent="0.25">
      <c r="A230" s="247" t="s">
        <v>222</v>
      </c>
      <c r="B230" s="248"/>
      <c r="C230" s="23">
        <f>+D225*13</f>
        <v>382.33</v>
      </c>
      <c r="D230" s="24" t="s">
        <v>169</v>
      </c>
      <c r="E230" s="25">
        <f>+BLOCK1435</f>
        <v>2.65</v>
      </c>
      <c r="F230" s="23">
        <f t="shared" ref="F230:F237" si="14">+TRUNC(ROUND(E230*C230,2),2)</f>
        <v>1013.17</v>
      </c>
    </row>
    <row r="231" spans="1:6" ht="15.75" x14ac:dyDescent="0.25">
      <c r="A231" s="236" t="s">
        <v>155</v>
      </c>
      <c r="B231" s="237"/>
      <c r="C231" s="26">
        <f>+E239/3.65*35.7</f>
        <v>2.1286393972602746</v>
      </c>
      <c r="D231" s="27" t="s">
        <v>163</v>
      </c>
      <c r="E231" s="28">
        <v>72</v>
      </c>
      <c r="F231" s="26">
        <f t="shared" si="14"/>
        <v>153.26</v>
      </c>
    </row>
    <row r="232" spans="1:6" ht="15.75" x14ac:dyDescent="0.25">
      <c r="A232" s="236" t="s">
        <v>32</v>
      </c>
      <c r="B232" s="237"/>
      <c r="C232" s="26">
        <f>+E239*4/3.65</f>
        <v>0.23850301369863017</v>
      </c>
      <c r="D232" s="27" t="s">
        <v>102</v>
      </c>
      <c r="E232" s="28">
        <v>130</v>
      </c>
      <c r="F232" s="26">
        <f t="shared" si="14"/>
        <v>31.01</v>
      </c>
    </row>
    <row r="233" spans="1:6" ht="15.75" x14ac:dyDescent="0.25">
      <c r="A233" s="236"/>
      <c r="B233" s="237"/>
      <c r="C233" s="26"/>
      <c r="D233" s="27"/>
      <c r="E233" s="28"/>
      <c r="F233" s="26">
        <f t="shared" si="14"/>
        <v>0</v>
      </c>
    </row>
    <row r="234" spans="1:6" ht="15.75" x14ac:dyDescent="0.25">
      <c r="A234" s="236"/>
      <c r="B234" s="237"/>
      <c r="C234" s="26"/>
      <c r="D234" s="27"/>
      <c r="E234" s="28"/>
      <c r="F234" s="26">
        <f t="shared" si="14"/>
        <v>0</v>
      </c>
    </row>
    <row r="235" spans="1:6" ht="15.75" x14ac:dyDescent="0.25">
      <c r="A235" s="236"/>
      <c r="B235" s="237"/>
      <c r="C235" s="26"/>
      <c r="D235" s="27"/>
      <c r="E235" s="28"/>
      <c r="F235" s="26">
        <f t="shared" si="14"/>
        <v>0</v>
      </c>
    </row>
    <row r="236" spans="1:6" ht="15.75" x14ac:dyDescent="0.25">
      <c r="A236" s="236"/>
      <c r="B236" s="237"/>
      <c r="C236" s="26"/>
      <c r="D236" s="27"/>
      <c r="E236" s="28"/>
      <c r="F236" s="26">
        <f t="shared" si="14"/>
        <v>0</v>
      </c>
    </row>
    <row r="237" spans="1:6" ht="15.75" x14ac:dyDescent="0.25">
      <c r="A237" s="236"/>
      <c r="B237" s="237"/>
      <c r="C237" s="26"/>
      <c r="D237" s="27"/>
      <c r="E237" s="28"/>
      <c r="F237" s="26">
        <f t="shared" si="14"/>
        <v>0</v>
      </c>
    </row>
    <row r="238" spans="1:6" ht="15.75" x14ac:dyDescent="0.25">
      <c r="A238" s="39"/>
      <c r="B238" s="241" t="s">
        <v>14</v>
      </c>
      <c r="C238" s="241"/>
      <c r="D238" s="241"/>
      <c r="E238" s="62"/>
      <c r="F238" s="41">
        <f>SUM(F230:F237)</f>
        <v>1197.4399999999998</v>
      </c>
    </row>
    <row r="239" spans="1:6" ht="15.75" x14ac:dyDescent="0.25">
      <c r="A239" s="249" t="s">
        <v>15</v>
      </c>
      <c r="B239" s="250"/>
      <c r="C239" s="22"/>
      <c r="D239" s="22"/>
      <c r="E239" s="84">
        <f>+D225*0.0074</f>
        <v>0.21763400000000002</v>
      </c>
      <c r="F239" s="22"/>
    </row>
    <row r="240" spans="1:6" ht="15.75" x14ac:dyDescent="0.25">
      <c r="A240" s="251" t="s">
        <v>170</v>
      </c>
      <c r="B240" s="252"/>
      <c r="C240" s="65">
        <f>+D225</f>
        <v>29.41</v>
      </c>
      <c r="D240" s="66" t="s">
        <v>148</v>
      </c>
      <c r="E240" s="41">
        <v>28</v>
      </c>
      <c r="F240" s="41">
        <f t="shared" ref="F240:F245" si="15">+TRUNC(ROUND(E240*C240,2),2)</f>
        <v>823.48</v>
      </c>
    </row>
    <row r="241" spans="1:8" ht="15.75" x14ac:dyDescent="0.25">
      <c r="A241" s="236"/>
      <c r="B241" s="237"/>
      <c r="C241" s="28"/>
      <c r="D241" s="27"/>
      <c r="E241" s="26"/>
      <c r="F241" s="26">
        <f t="shared" si="15"/>
        <v>0</v>
      </c>
    </row>
    <row r="242" spans="1:8" ht="15.75" x14ac:dyDescent="0.25">
      <c r="A242" s="236"/>
      <c r="B242" s="237"/>
      <c r="C242" s="28"/>
      <c r="D242" s="27"/>
      <c r="E242" s="26"/>
      <c r="F242" s="26">
        <f t="shared" si="15"/>
        <v>0</v>
      </c>
    </row>
    <row r="243" spans="1:8" ht="15.75" x14ac:dyDescent="0.25">
      <c r="A243" s="236"/>
      <c r="B243" s="237"/>
      <c r="C243" s="28"/>
      <c r="D243" s="27"/>
      <c r="E243" s="26"/>
      <c r="F243" s="26">
        <f t="shared" si="15"/>
        <v>0</v>
      </c>
    </row>
    <row r="244" spans="1:8" ht="15.75" x14ac:dyDescent="0.25">
      <c r="A244" s="236"/>
      <c r="B244" s="237"/>
      <c r="C244" s="28"/>
      <c r="D244" s="27"/>
      <c r="E244" s="26"/>
      <c r="F244" s="26">
        <f t="shared" si="15"/>
        <v>0</v>
      </c>
    </row>
    <row r="245" spans="1:8" ht="15.75" x14ac:dyDescent="0.25">
      <c r="A245" s="236"/>
      <c r="B245" s="237"/>
      <c r="C245" s="28"/>
      <c r="D245" s="27"/>
      <c r="E245" s="26"/>
      <c r="F245" s="26">
        <f t="shared" si="15"/>
        <v>0</v>
      </c>
    </row>
    <row r="246" spans="1:8" ht="15.75" x14ac:dyDescent="0.25">
      <c r="A246" s="29"/>
      <c r="B246" s="30"/>
      <c r="C246" s="238" t="s">
        <v>96</v>
      </c>
      <c r="D246" s="239"/>
      <c r="E246" s="240"/>
      <c r="F246" s="26">
        <f>SUM(F240:F245)</f>
        <v>823.48</v>
      </c>
    </row>
    <row r="247" spans="1:8" ht="15.75" x14ac:dyDescent="0.25">
      <c r="A247" s="31"/>
      <c r="B247" s="212" t="s">
        <v>17</v>
      </c>
      <c r="C247" s="33">
        <f>+AYUDANTE</f>
        <v>40</v>
      </c>
      <c r="D247" s="27" t="s">
        <v>97</v>
      </c>
      <c r="E247" s="26"/>
      <c r="F247" s="23">
        <f>+TRUNC(ROUND(E247*C247,2),2)/100</f>
        <v>0</v>
      </c>
    </row>
    <row r="248" spans="1:8" ht="15.75" x14ac:dyDescent="0.25">
      <c r="A248" s="34"/>
      <c r="B248" s="35" t="s">
        <v>18</v>
      </c>
      <c r="C248" s="36">
        <f>+PRESTACIONES</f>
        <v>40</v>
      </c>
      <c r="D248" s="37" t="s">
        <v>97</v>
      </c>
      <c r="E248" s="38"/>
      <c r="F248" s="38">
        <f>+TRUNC(ROUND(E248*C248,2),2)/100</f>
        <v>0</v>
      </c>
    </row>
    <row r="249" spans="1:8" ht="15.75" x14ac:dyDescent="0.25">
      <c r="A249" s="39"/>
      <c r="B249" s="241" t="s">
        <v>16</v>
      </c>
      <c r="C249" s="241"/>
      <c r="D249" s="242"/>
      <c r="E249" s="40"/>
      <c r="F249" s="41">
        <f>+F248+F247+F246</f>
        <v>823.48</v>
      </c>
    </row>
    <row r="250" spans="1:8" ht="15" customHeight="1" x14ac:dyDescent="0.25">
      <c r="A250" s="22"/>
      <c r="B250" s="22"/>
      <c r="C250" s="22"/>
      <c r="D250" s="234" t="s">
        <v>98</v>
      </c>
      <c r="E250" s="235"/>
      <c r="F250" s="42">
        <f>+F249+F238</f>
        <v>2020.9199999999998</v>
      </c>
      <c r="G250" s="17">
        <f>+F250</f>
        <v>2020.9199999999998</v>
      </c>
      <c r="H250" s="17">
        <f>+F238+F249+F252</f>
        <v>2048.4079999999999</v>
      </c>
    </row>
    <row r="251" spans="1:8" ht="17.25" customHeight="1" x14ac:dyDescent="0.25">
      <c r="A251" s="22"/>
      <c r="B251" s="22"/>
      <c r="C251" s="22"/>
      <c r="D251" s="234" t="s">
        <v>99</v>
      </c>
      <c r="E251" s="235"/>
      <c r="F251" s="43">
        <f>+TRUNC(ROUND(F250/D225,2),2)</f>
        <v>68.72</v>
      </c>
      <c r="H251" s="18"/>
    </row>
    <row r="252" spans="1:8" ht="16.5" customHeight="1" x14ac:dyDescent="0.25">
      <c r="A252" s="22"/>
      <c r="B252" s="22"/>
      <c r="C252" s="22"/>
      <c r="D252" s="234" t="s">
        <v>100</v>
      </c>
      <c r="E252" s="235"/>
      <c r="F252" s="42">
        <f>+F251*INDIRECTOS</f>
        <v>27.488</v>
      </c>
      <c r="H252" s="17"/>
    </row>
    <row r="253" spans="1:8" ht="15.75" customHeight="1" x14ac:dyDescent="0.25">
      <c r="A253" s="22"/>
      <c r="B253" s="22"/>
      <c r="C253" s="22"/>
      <c r="D253" s="234" t="s">
        <v>101</v>
      </c>
      <c r="E253" s="235"/>
      <c r="F253" s="44">
        <f>+F252+F251</f>
        <v>96.207999999999998</v>
      </c>
    </row>
    <row r="254" spans="1:8" ht="15.75" customHeight="1" x14ac:dyDescent="0.25">
      <c r="A254" s="22"/>
      <c r="B254" s="22"/>
      <c r="C254" s="22"/>
      <c r="D254" s="63"/>
      <c r="E254" s="63"/>
      <c r="F254" s="64"/>
    </row>
    <row r="255" spans="1:8" ht="67.5" customHeight="1" x14ac:dyDescent="0.25">
      <c r="A255" s="45" t="s">
        <v>2</v>
      </c>
      <c r="B255" s="69">
        <v>4</v>
      </c>
      <c r="C255" s="46" t="s">
        <v>3</v>
      </c>
      <c r="D255" s="47" t="s">
        <v>175</v>
      </c>
      <c r="E255" s="48" t="s">
        <v>5</v>
      </c>
      <c r="F255" s="91" t="str">
        <f>F224</f>
        <v>CASA RUDY MAEDA</v>
      </c>
    </row>
    <row r="256" spans="1:8" ht="75" customHeight="1" x14ac:dyDescent="0.25">
      <c r="A256" s="49" t="s">
        <v>0</v>
      </c>
      <c r="B256" s="83" t="s">
        <v>223</v>
      </c>
      <c r="C256" s="50" t="s">
        <v>4</v>
      </c>
      <c r="D256" s="85">
        <v>121.13</v>
      </c>
      <c r="E256" s="51" t="s">
        <v>7</v>
      </c>
      <c r="F256" s="21" t="str">
        <f>F225</f>
        <v>ALDEA EL TULE</v>
      </c>
    </row>
    <row r="257" spans="1:8" ht="15.75" x14ac:dyDescent="0.25">
      <c r="A257" s="52" t="s">
        <v>1</v>
      </c>
      <c r="B257" s="70">
        <v>4.0999999999999996</v>
      </c>
      <c r="C257" s="53"/>
      <c r="D257" s="54"/>
      <c r="E257" s="55" t="s">
        <v>6</v>
      </c>
      <c r="F257" s="56">
        <f>+F194</f>
        <v>42436</v>
      </c>
    </row>
    <row r="258" spans="1:8" ht="15.75" x14ac:dyDescent="0.25">
      <c r="A258" s="57"/>
      <c r="B258" s="57"/>
      <c r="C258" s="57"/>
      <c r="D258" s="57"/>
      <c r="E258" s="57"/>
      <c r="F258" s="57"/>
    </row>
    <row r="259" spans="1:8" ht="28.5" x14ac:dyDescent="0.25">
      <c r="A259" s="243" t="s">
        <v>9</v>
      </c>
      <c r="B259" s="244"/>
      <c r="C259" s="67" t="s">
        <v>10</v>
      </c>
      <c r="D259" s="59" t="s">
        <v>11</v>
      </c>
      <c r="E259" s="60" t="s">
        <v>12</v>
      </c>
      <c r="F259" s="61" t="s">
        <v>13</v>
      </c>
    </row>
    <row r="260" spans="1:8" ht="15.75" x14ac:dyDescent="0.25">
      <c r="A260" s="245" t="s">
        <v>8</v>
      </c>
      <c r="B260" s="246"/>
      <c r="C260" s="22"/>
      <c r="D260" s="22"/>
      <c r="E260" s="22"/>
      <c r="F260" s="22"/>
    </row>
    <row r="261" spans="1:8" ht="15.75" x14ac:dyDescent="0.25">
      <c r="A261" s="247" t="s">
        <v>155</v>
      </c>
      <c r="B261" s="248"/>
      <c r="C261" s="23">
        <f>+E270*9</f>
        <v>32.705100000000002</v>
      </c>
      <c r="D261" s="24" t="s">
        <v>163</v>
      </c>
      <c r="E261" s="25">
        <v>72</v>
      </c>
      <c r="F261" s="23">
        <f t="shared" ref="F261:F269" si="16">+TRUNC(ROUND(E261*C261,2),2)</f>
        <v>2354.77</v>
      </c>
    </row>
    <row r="262" spans="1:8" ht="15.75" x14ac:dyDescent="0.25">
      <c r="A262" s="236" t="s">
        <v>32</v>
      </c>
      <c r="B262" s="237"/>
      <c r="C262" s="26">
        <f>+E270*0.55*1.33</f>
        <v>2.6581978500000005</v>
      </c>
      <c r="D262" s="27" t="s">
        <v>102</v>
      </c>
      <c r="E262" s="28">
        <v>130</v>
      </c>
      <c r="F262" s="26">
        <f t="shared" si="16"/>
        <v>345.57</v>
      </c>
    </row>
    <row r="263" spans="1:8" ht="15.75" x14ac:dyDescent="0.25">
      <c r="A263" s="236" t="s">
        <v>34</v>
      </c>
      <c r="B263" s="237"/>
      <c r="C263" s="26">
        <f>+E270*0.55*1.15</f>
        <v>2.2984417500000003</v>
      </c>
      <c r="D263" s="27" t="s">
        <v>102</v>
      </c>
      <c r="E263" s="28">
        <v>150</v>
      </c>
      <c r="F263" s="26">
        <f t="shared" si="16"/>
        <v>344.77</v>
      </c>
    </row>
    <row r="264" spans="1:8" ht="15.75" x14ac:dyDescent="0.25">
      <c r="A264" s="236" t="s">
        <v>156</v>
      </c>
      <c r="B264" s="237"/>
      <c r="C264" s="26">
        <f>+D256*0.75</f>
        <v>90.847499999999997</v>
      </c>
      <c r="D264" s="27" t="s">
        <v>164</v>
      </c>
      <c r="E264" s="28">
        <v>13</v>
      </c>
      <c r="F264" s="26">
        <f t="shared" si="16"/>
        <v>1181.02</v>
      </c>
      <c r="H264">
        <f>+C264/13</f>
        <v>6.9882692307692302</v>
      </c>
    </row>
    <row r="265" spans="1:8" ht="15.75" x14ac:dyDescent="0.25">
      <c r="A265" s="236" t="s">
        <v>29</v>
      </c>
      <c r="B265" s="237"/>
      <c r="C265" s="26">
        <f>+D256/0.2*0.68/6</f>
        <v>68.640333333333345</v>
      </c>
      <c r="D265" s="27" t="s">
        <v>164</v>
      </c>
      <c r="E265" s="28">
        <v>6</v>
      </c>
      <c r="F265" s="26">
        <f t="shared" si="16"/>
        <v>411.84</v>
      </c>
      <c r="H265">
        <f>+C265/30</f>
        <v>2.2880111111111114</v>
      </c>
    </row>
    <row r="266" spans="1:8" ht="15.75" x14ac:dyDescent="0.25">
      <c r="A266" s="236" t="s">
        <v>58</v>
      </c>
      <c r="B266" s="237"/>
      <c r="C266" s="26">
        <f>+C268*0.03</f>
        <v>24.225999999999999</v>
      </c>
      <c r="D266" s="27" t="s">
        <v>165</v>
      </c>
      <c r="E266" s="28">
        <f>+CLAVO</f>
        <v>5.5</v>
      </c>
      <c r="F266" s="26">
        <f t="shared" si="16"/>
        <v>133.24</v>
      </c>
      <c r="H266">
        <f>SUM(H264:H265)</f>
        <v>9.2762803418803408</v>
      </c>
    </row>
    <row r="267" spans="1:8" ht="15.75" x14ac:dyDescent="0.25">
      <c r="A267" s="236" t="s">
        <v>57</v>
      </c>
      <c r="B267" s="237"/>
      <c r="C267" s="26">
        <f>+H266*3.5</f>
        <v>32.466981196581195</v>
      </c>
      <c r="D267" s="27" t="s">
        <v>165</v>
      </c>
      <c r="E267" s="28">
        <v>4.25</v>
      </c>
      <c r="F267" s="26">
        <f t="shared" si="16"/>
        <v>137.97999999999999</v>
      </c>
    </row>
    <row r="268" spans="1:8" ht="15.75" x14ac:dyDescent="0.25">
      <c r="A268" s="236" t="s">
        <v>152</v>
      </c>
      <c r="B268" s="237"/>
      <c r="C268" s="26">
        <f>+C271*24*1/12</f>
        <v>807.5333333333333</v>
      </c>
      <c r="D268" s="27" t="s">
        <v>154</v>
      </c>
      <c r="E268" s="28">
        <f>+MADERA</f>
        <v>6</v>
      </c>
      <c r="F268" s="26">
        <f t="shared" si="16"/>
        <v>4845.2</v>
      </c>
    </row>
    <row r="269" spans="1:8" ht="15.75" x14ac:dyDescent="0.25">
      <c r="A269" s="236" t="s">
        <v>52</v>
      </c>
      <c r="B269" s="237"/>
      <c r="C269" s="26"/>
      <c r="D269" s="27" t="s">
        <v>102</v>
      </c>
      <c r="E269" s="28">
        <f>+SELECTO</f>
        <v>60</v>
      </c>
      <c r="F269" s="26">
        <f t="shared" si="16"/>
        <v>0</v>
      </c>
    </row>
    <row r="270" spans="1:8" ht="15.75" x14ac:dyDescent="0.25">
      <c r="A270" s="39"/>
      <c r="B270" s="241" t="s">
        <v>14</v>
      </c>
      <c r="C270" s="241"/>
      <c r="D270" s="241"/>
      <c r="E270" s="84">
        <f>+D256*0.15*0.2</f>
        <v>3.6339000000000001</v>
      </c>
      <c r="F270" s="41">
        <f>SUM(F261:F269)</f>
        <v>9754.39</v>
      </c>
    </row>
    <row r="271" spans="1:8" ht="15.75" x14ac:dyDescent="0.25">
      <c r="A271" s="249" t="s">
        <v>15</v>
      </c>
      <c r="B271" s="250"/>
      <c r="C271" s="82">
        <f>+D256/0.3</f>
        <v>403.76666666666665</v>
      </c>
      <c r="D271" s="22"/>
      <c r="E271" s="22"/>
      <c r="F271" s="22"/>
    </row>
    <row r="272" spans="1:8" ht="15.75" x14ac:dyDescent="0.25">
      <c r="A272" s="251" t="s">
        <v>166</v>
      </c>
      <c r="B272" s="252"/>
      <c r="C272" s="65">
        <f>+D256</f>
        <v>121.13</v>
      </c>
      <c r="D272" s="66" t="s">
        <v>204</v>
      </c>
      <c r="E272" s="41">
        <v>3</v>
      </c>
      <c r="F272" s="41">
        <f t="shared" ref="F272:F277" si="17">+TRUNC(ROUND(E272*C272,2),2)</f>
        <v>363.39</v>
      </c>
    </row>
    <row r="273" spans="1:8" ht="15.75" x14ac:dyDescent="0.25">
      <c r="A273" s="236" t="s">
        <v>158</v>
      </c>
      <c r="B273" s="237"/>
      <c r="C273" s="28">
        <v>0</v>
      </c>
      <c r="D273" s="27" t="s">
        <v>102</v>
      </c>
      <c r="E273" s="26">
        <v>15</v>
      </c>
      <c r="F273" s="26">
        <f t="shared" si="17"/>
        <v>0</v>
      </c>
    </row>
    <row r="274" spans="1:8" ht="15.75" x14ac:dyDescent="0.25">
      <c r="A274" s="236" t="s">
        <v>159</v>
      </c>
      <c r="B274" s="237"/>
      <c r="C274" s="28">
        <f>+C264*6</f>
        <v>545.08500000000004</v>
      </c>
      <c r="D274" s="27" t="s">
        <v>204</v>
      </c>
      <c r="E274" s="26">
        <v>1.2</v>
      </c>
      <c r="F274" s="26">
        <f t="shared" si="17"/>
        <v>654.1</v>
      </c>
    </row>
    <row r="275" spans="1:8" ht="15.75" x14ac:dyDescent="0.25">
      <c r="A275" s="236" t="s">
        <v>161</v>
      </c>
      <c r="B275" s="237"/>
      <c r="C275" s="28">
        <f>+C265*6</f>
        <v>411.8420000000001</v>
      </c>
      <c r="D275" s="27" t="s">
        <v>204</v>
      </c>
      <c r="E275" s="26">
        <v>0.8</v>
      </c>
      <c r="F275" s="26">
        <f t="shared" si="17"/>
        <v>329.47</v>
      </c>
    </row>
    <row r="276" spans="1:8" ht="15.75" x14ac:dyDescent="0.25">
      <c r="A276" s="236" t="s">
        <v>162</v>
      </c>
      <c r="B276" s="237"/>
      <c r="C276" s="28">
        <f>+E270</f>
        <v>3.6339000000000001</v>
      </c>
      <c r="D276" s="27" t="s">
        <v>102</v>
      </c>
      <c r="E276" s="26">
        <v>40</v>
      </c>
      <c r="F276" s="26">
        <f t="shared" si="17"/>
        <v>145.36000000000001</v>
      </c>
    </row>
    <row r="277" spans="1:8" ht="15.75" x14ac:dyDescent="0.25">
      <c r="A277" s="236"/>
      <c r="B277" s="237"/>
      <c r="C277" s="28"/>
      <c r="D277" s="27"/>
      <c r="E277" s="26"/>
      <c r="F277" s="26">
        <f t="shared" si="17"/>
        <v>0</v>
      </c>
    </row>
    <row r="278" spans="1:8" ht="15.75" x14ac:dyDescent="0.25">
      <c r="A278" s="29"/>
      <c r="B278" s="30"/>
      <c r="C278" s="238" t="s">
        <v>96</v>
      </c>
      <c r="D278" s="239"/>
      <c r="E278" s="240"/>
      <c r="F278" s="26">
        <f>SUM(F272:F277)</f>
        <v>1492.3200000000002</v>
      </c>
    </row>
    <row r="279" spans="1:8" ht="15.75" x14ac:dyDescent="0.25">
      <c r="A279" s="31"/>
      <c r="B279" s="68" t="s">
        <v>17</v>
      </c>
      <c r="C279" s="33">
        <f>+AYUDANTE</f>
        <v>40</v>
      </c>
      <c r="D279" s="27" t="s">
        <v>97</v>
      </c>
      <c r="E279" s="26"/>
      <c r="F279" s="23">
        <f>+TRUNC(ROUND(E279*C279,2),2)/100</f>
        <v>0</v>
      </c>
    </row>
    <row r="280" spans="1:8" ht="15.75" x14ac:dyDescent="0.25">
      <c r="A280" s="34"/>
      <c r="B280" s="35" t="s">
        <v>18</v>
      </c>
      <c r="C280" s="36">
        <f>+PRESTACIONES</f>
        <v>40</v>
      </c>
      <c r="D280" s="37" t="s">
        <v>97</v>
      </c>
      <c r="E280" s="38"/>
      <c r="F280" s="38">
        <f>+TRUNC(ROUND(E280*C280,2),2)/100</f>
        <v>0</v>
      </c>
    </row>
    <row r="281" spans="1:8" ht="15.75" x14ac:dyDescent="0.25">
      <c r="A281" s="39"/>
      <c r="B281" s="241" t="s">
        <v>16</v>
      </c>
      <c r="C281" s="241"/>
      <c r="D281" s="242"/>
      <c r="E281" s="40"/>
      <c r="F281" s="41">
        <f>+F280+F279+F278</f>
        <v>1492.3200000000002</v>
      </c>
    </row>
    <row r="282" spans="1:8" ht="15" customHeight="1" x14ac:dyDescent="0.25">
      <c r="A282" s="22"/>
      <c r="B282" s="22"/>
      <c r="C282" s="22"/>
      <c r="D282" s="234" t="s">
        <v>98</v>
      </c>
      <c r="E282" s="235"/>
      <c r="F282" s="42">
        <f>+F281+F270</f>
        <v>11246.71</v>
      </c>
      <c r="G282" s="17">
        <f>+F282</f>
        <v>11246.71</v>
      </c>
      <c r="H282" s="17">
        <f>+F270+F281+F284</f>
        <v>11283.849999999999</v>
      </c>
    </row>
    <row r="283" spans="1:8" ht="17.25" customHeight="1" x14ac:dyDescent="0.25">
      <c r="A283" s="22"/>
      <c r="B283" s="22"/>
      <c r="C283" s="22"/>
      <c r="D283" s="234" t="s">
        <v>99</v>
      </c>
      <c r="E283" s="235"/>
      <c r="F283" s="43">
        <f>+TRUNC(ROUND(F282/D256,2),2)</f>
        <v>92.85</v>
      </c>
      <c r="H283" s="18"/>
    </row>
    <row r="284" spans="1:8" ht="16.5" customHeight="1" x14ac:dyDescent="0.25">
      <c r="A284" s="22"/>
      <c r="B284" s="22"/>
      <c r="C284" s="22"/>
      <c r="D284" s="234" t="s">
        <v>100</v>
      </c>
      <c r="E284" s="235"/>
      <c r="F284" s="42">
        <f>+F283*INDIRECTOS</f>
        <v>37.14</v>
      </c>
      <c r="H284" s="17"/>
    </row>
    <row r="285" spans="1:8" ht="15.75" customHeight="1" x14ac:dyDescent="0.25">
      <c r="A285" s="22"/>
      <c r="B285" s="22"/>
      <c r="C285" s="22"/>
      <c r="D285" s="234" t="s">
        <v>101</v>
      </c>
      <c r="E285" s="235"/>
      <c r="F285" s="44">
        <f>+F284+F283</f>
        <v>129.99</v>
      </c>
    </row>
    <row r="286" spans="1:8" ht="15.75" customHeight="1" x14ac:dyDescent="0.25">
      <c r="A286" s="22"/>
      <c r="B286" s="22"/>
      <c r="C286" s="22"/>
      <c r="D286" s="63"/>
      <c r="E286" s="63"/>
      <c r="F286" s="64"/>
    </row>
    <row r="287" spans="1:8" ht="67.5" customHeight="1" x14ac:dyDescent="0.25">
      <c r="A287" s="45" t="s">
        <v>2</v>
      </c>
      <c r="B287" s="69">
        <v>4</v>
      </c>
      <c r="C287" s="46" t="s">
        <v>3</v>
      </c>
      <c r="D287" s="47" t="s">
        <v>175</v>
      </c>
      <c r="E287" s="48" t="s">
        <v>5</v>
      </c>
      <c r="F287" s="91" t="str">
        <f>F255</f>
        <v>CASA RUDY MAEDA</v>
      </c>
    </row>
    <row r="288" spans="1:8" ht="75" customHeight="1" x14ac:dyDescent="0.25">
      <c r="A288" s="49" t="s">
        <v>0</v>
      </c>
      <c r="B288" s="83" t="s">
        <v>224</v>
      </c>
      <c r="C288" s="50" t="s">
        <v>4</v>
      </c>
      <c r="D288" s="85">
        <v>36.1</v>
      </c>
      <c r="E288" s="51" t="s">
        <v>7</v>
      </c>
      <c r="F288" s="21" t="str">
        <f>F256</f>
        <v>ALDEA EL TULE</v>
      </c>
    </row>
    <row r="289" spans="1:8" ht="15.75" x14ac:dyDescent="0.25">
      <c r="A289" s="52" t="s">
        <v>1</v>
      </c>
      <c r="B289" s="70">
        <v>4.2</v>
      </c>
      <c r="C289" s="53"/>
      <c r="D289" s="54"/>
      <c r="E289" s="55" t="s">
        <v>6</v>
      </c>
      <c r="F289" s="56">
        <f>+F257</f>
        <v>42436</v>
      </c>
    </row>
    <row r="290" spans="1:8" ht="15.75" x14ac:dyDescent="0.25">
      <c r="A290" s="57"/>
      <c r="B290" s="57"/>
      <c r="C290" s="57"/>
      <c r="D290" s="57"/>
      <c r="E290" s="57"/>
      <c r="F290" s="57"/>
    </row>
    <row r="291" spans="1:8" ht="28.5" x14ac:dyDescent="0.25">
      <c r="A291" s="243" t="s">
        <v>9</v>
      </c>
      <c r="B291" s="244"/>
      <c r="C291" s="67" t="s">
        <v>10</v>
      </c>
      <c r="D291" s="59" t="s">
        <v>11</v>
      </c>
      <c r="E291" s="60" t="s">
        <v>12</v>
      </c>
      <c r="F291" s="61" t="s">
        <v>13</v>
      </c>
    </row>
    <row r="292" spans="1:8" ht="15.75" x14ac:dyDescent="0.25">
      <c r="A292" s="249" t="s">
        <v>8</v>
      </c>
      <c r="B292" s="250"/>
      <c r="C292" s="22"/>
      <c r="D292" s="22"/>
      <c r="E292" s="22"/>
      <c r="F292" s="22"/>
    </row>
    <row r="293" spans="1:8" ht="15.75" x14ac:dyDescent="0.25">
      <c r="A293" s="247" t="s">
        <v>225</v>
      </c>
      <c r="B293" s="248"/>
      <c r="C293" s="217">
        <f>(D288*3)</f>
        <v>108.30000000000001</v>
      </c>
      <c r="D293" s="219" t="s">
        <v>226</v>
      </c>
      <c r="E293" s="215">
        <v>2</v>
      </c>
      <c r="F293" s="217">
        <f>+TRUNC(ROUND(E293*C293,2),2)</f>
        <v>216.6</v>
      </c>
    </row>
    <row r="294" spans="1:8" ht="15.75" x14ac:dyDescent="0.25">
      <c r="A294" s="236" t="s">
        <v>155</v>
      </c>
      <c r="B294" s="237"/>
      <c r="C294" s="216">
        <f>+E303*9</f>
        <v>1.6245000000000003</v>
      </c>
      <c r="D294" s="27" t="s">
        <v>163</v>
      </c>
      <c r="E294" s="26">
        <v>72</v>
      </c>
      <c r="F294" s="216">
        <f t="shared" ref="F294:F302" si="18">+TRUNC(ROUND(E294*C294,2),2)</f>
        <v>116.96</v>
      </c>
      <c r="G294" s="218"/>
    </row>
    <row r="295" spans="1:8" ht="15.75" x14ac:dyDescent="0.25">
      <c r="A295" s="236" t="s">
        <v>32</v>
      </c>
      <c r="B295" s="237"/>
      <c r="C295" s="216">
        <f>+E303*0.55*1.33</f>
        <v>0.13203575000000004</v>
      </c>
      <c r="D295" s="27" t="s">
        <v>102</v>
      </c>
      <c r="E295" s="26">
        <v>130</v>
      </c>
      <c r="F295" s="216">
        <f t="shared" si="18"/>
        <v>17.16</v>
      </c>
    </row>
    <row r="296" spans="1:8" ht="15.75" x14ac:dyDescent="0.25">
      <c r="A296" s="236" t="s">
        <v>34</v>
      </c>
      <c r="B296" s="237"/>
      <c r="C296" s="216">
        <f>+E303*0.55*1.15</f>
        <v>0.11416625000000001</v>
      </c>
      <c r="D296" s="27" t="s">
        <v>102</v>
      </c>
      <c r="E296" s="26">
        <v>150</v>
      </c>
      <c r="F296" s="216">
        <f t="shared" si="18"/>
        <v>17.12</v>
      </c>
    </row>
    <row r="297" spans="1:8" ht="15.75" x14ac:dyDescent="0.25">
      <c r="A297" s="236" t="s">
        <v>156</v>
      </c>
      <c r="B297" s="237"/>
      <c r="C297" s="216">
        <f>(+D288*2)/6</f>
        <v>12.033333333333333</v>
      </c>
      <c r="D297" s="27" t="s">
        <v>164</v>
      </c>
      <c r="E297" s="26">
        <v>13</v>
      </c>
      <c r="F297" s="216">
        <f t="shared" si="18"/>
        <v>156.43</v>
      </c>
      <c r="H297">
        <f>+C297/13</f>
        <v>0.92564102564102568</v>
      </c>
    </row>
    <row r="298" spans="1:8" ht="15.75" x14ac:dyDescent="0.25">
      <c r="A298" s="236" t="s">
        <v>29</v>
      </c>
      <c r="B298" s="237"/>
      <c r="C298" s="216">
        <f>+D288/0.2*0.12/6</f>
        <v>3.61</v>
      </c>
      <c r="D298" s="27" t="s">
        <v>164</v>
      </c>
      <c r="E298" s="26">
        <v>6</v>
      </c>
      <c r="F298" s="216">
        <f t="shared" si="18"/>
        <v>21.66</v>
      </c>
      <c r="H298">
        <f>+C298/30</f>
        <v>0.12033333333333333</v>
      </c>
    </row>
    <row r="299" spans="1:8" ht="15.75" x14ac:dyDescent="0.25">
      <c r="A299" s="236" t="s">
        <v>58</v>
      </c>
      <c r="B299" s="237"/>
      <c r="C299" s="216">
        <f>+C301*0.03</f>
        <v>0</v>
      </c>
      <c r="D299" s="27" t="s">
        <v>165</v>
      </c>
      <c r="E299" s="26">
        <f>+CLAVO</f>
        <v>5.5</v>
      </c>
      <c r="F299" s="216">
        <f t="shared" si="18"/>
        <v>0</v>
      </c>
      <c r="H299">
        <f>SUM(H297:H298)</f>
        <v>1.0459743589743591</v>
      </c>
    </row>
    <row r="300" spans="1:8" ht="15.75" x14ac:dyDescent="0.25">
      <c r="A300" s="236" t="s">
        <v>57</v>
      </c>
      <c r="B300" s="237"/>
      <c r="C300" s="216">
        <f>+H299*3.5</f>
        <v>3.6609102564102569</v>
      </c>
      <c r="D300" s="27" t="s">
        <v>165</v>
      </c>
      <c r="E300" s="26">
        <v>4.25</v>
      </c>
      <c r="F300" s="216">
        <f t="shared" si="18"/>
        <v>15.56</v>
      </c>
    </row>
    <row r="301" spans="1:8" ht="15.75" x14ac:dyDescent="0.25">
      <c r="A301" s="236" t="s">
        <v>152</v>
      </c>
      <c r="B301" s="237"/>
      <c r="C301" s="216"/>
      <c r="D301" s="27" t="s">
        <v>154</v>
      </c>
      <c r="E301" s="26">
        <f>+MADERA</f>
        <v>6</v>
      </c>
      <c r="F301" s="216">
        <f t="shared" si="18"/>
        <v>0</v>
      </c>
    </row>
    <row r="302" spans="1:8" ht="15.75" x14ac:dyDescent="0.25">
      <c r="A302" s="255" t="s">
        <v>52</v>
      </c>
      <c r="B302" s="256"/>
      <c r="C302" s="43"/>
      <c r="D302" s="37" t="s">
        <v>102</v>
      </c>
      <c r="E302" s="38">
        <f>+SELECTO</f>
        <v>60</v>
      </c>
      <c r="F302" s="43">
        <f t="shared" si="18"/>
        <v>0</v>
      </c>
    </row>
    <row r="303" spans="1:8" ht="15.75" x14ac:dyDescent="0.25">
      <c r="A303" s="39"/>
      <c r="B303" s="241" t="s">
        <v>14</v>
      </c>
      <c r="C303" s="241"/>
      <c r="D303" s="241"/>
      <c r="E303" s="84">
        <f>+D288*0.1*0.05</f>
        <v>0.18050000000000002</v>
      </c>
      <c r="F303" s="41">
        <f>SUM(F294:F302)</f>
        <v>344.89000000000004</v>
      </c>
    </row>
    <row r="304" spans="1:8" ht="15.75" x14ac:dyDescent="0.25">
      <c r="A304" s="249" t="s">
        <v>15</v>
      </c>
      <c r="B304" s="250"/>
      <c r="C304" s="82">
        <f>+D288/0.3</f>
        <v>120.33333333333334</v>
      </c>
      <c r="D304" s="22"/>
      <c r="E304" s="22"/>
      <c r="F304" s="22"/>
    </row>
    <row r="305" spans="1:8" ht="15.75" x14ac:dyDescent="0.25">
      <c r="A305" s="251" t="s">
        <v>166</v>
      </c>
      <c r="B305" s="252"/>
      <c r="C305" s="65"/>
      <c r="D305" s="66" t="s">
        <v>149</v>
      </c>
      <c r="E305" s="41">
        <v>5</v>
      </c>
      <c r="F305" s="41">
        <f t="shared" ref="F305:F310" si="19">+TRUNC(ROUND(E305*C305,2),2)</f>
        <v>0</v>
      </c>
    </row>
    <row r="306" spans="1:8" ht="15.75" x14ac:dyDescent="0.25">
      <c r="A306" s="236" t="s">
        <v>158</v>
      </c>
      <c r="B306" s="237"/>
      <c r="C306" s="28">
        <v>0</v>
      </c>
      <c r="D306" s="27" t="s">
        <v>102</v>
      </c>
      <c r="E306" s="26">
        <v>15</v>
      </c>
      <c r="F306" s="26">
        <f t="shared" si="19"/>
        <v>0</v>
      </c>
    </row>
    <row r="307" spans="1:8" ht="15.75" x14ac:dyDescent="0.25">
      <c r="A307" s="236" t="s">
        <v>159</v>
      </c>
      <c r="B307" s="237"/>
      <c r="C307" s="28">
        <f>+C297*6</f>
        <v>72.2</v>
      </c>
      <c r="D307" s="27" t="s">
        <v>160</v>
      </c>
      <c r="E307" s="26">
        <v>1.2</v>
      </c>
      <c r="F307" s="26">
        <f t="shared" si="19"/>
        <v>86.64</v>
      </c>
    </row>
    <row r="308" spans="1:8" ht="15.75" x14ac:dyDescent="0.25">
      <c r="A308" s="236" t="s">
        <v>161</v>
      </c>
      <c r="B308" s="237"/>
      <c r="C308" s="28">
        <f>+C298*6</f>
        <v>21.66</v>
      </c>
      <c r="D308" s="27" t="s">
        <v>149</v>
      </c>
      <c r="E308" s="26">
        <v>0.8</v>
      </c>
      <c r="F308" s="26">
        <f t="shared" si="19"/>
        <v>17.329999999999998</v>
      </c>
    </row>
    <row r="309" spans="1:8" ht="15.75" x14ac:dyDescent="0.25">
      <c r="A309" s="236" t="s">
        <v>162</v>
      </c>
      <c r="B309" s="237"/>
      <c r="C309" s="28">
        <f>+E303</f>
        <v>0.18050000000000002</v>
      </c>
      <c r="D309" s="27" t="s">
        <v>102</v>
      </c>
      <c r="E309" s="26">
        <v>40</v>
      </c>
      <c r="F309" s="26">
        <f t="shared" si="19"/>
        <v>7.22</v>
      </c>
    </row>
    <row r="310" spans="1:8" ht="15.75" x14ac:dyDescent="0.25">
      <c r="A310" s="236"/>
      <c r="B310" s="237"/>
      <c r="C310" s="28"/>
      <c r="D310" s="27"/>
      <c r="E310" s="26"/>
      <c r="F310" s="26">
        <f t="shared" si="19"/>
        <v>0</v>
      </c>
    </row>
    <row r="311" spans="1:8" ht="15.75" x14ac:dyDescent="0.25">
      <c r="A311" s="29"/>
      <c r="B311" s="30"/>
      <c r="C311" s="238" t="s">
        <v>96</v>
      </c>
      <c r="D311" s="239"/>
      <c r="E311" s="240"/>
      <c r="F311" s="26">
        <f>SUM(F305:F310)</f>
        <v>111.19</v>
      </c>
    </row>
    <row r="312" spans="1:8" ht="15.75" x14ac:dyDescent="0.25">
      <c r="A312" s="31"/>
      <c r="B312" s="68" t="s">
        <v>17</v>
      </c>
      <c r="C312" s="33">
        <f>+AYUDANTE</f>
        <v>40</v>
      </c>
      <c r="D312" s="27" t="s">
        <v>97</v>
      </c>
      <c r="E312" s="26"/>
      <c r="F312" s="23">
        <f>+TRUNC(ROUND(E312*C312,2),2)/100</f>
        <v>0</v>
      </c>
    </row>
    <row r="313" spans="1:8" ht="15.75" x14ac:dyDescent="0.25">
      <c r="A313" s="34"/>
      <c r="B313" s="35" t="s">
        <v>18</v>
      </c>
      <c r="C313" s="36">
        <f>+PRESTACIONES</f>
        <v>40</v>
      </c>
      <c r="D313" s="37" t="s">
        <v>97</v>
      </c>
      <c r="E313" s="38"/>
      <c r="F313" s="38">
        <f>+TRUNC(ROUND(E313*C313,2),2)/100</f>
        <v>0</v>
      </c>
    </row>
    <row r="314" spans="1:8" ht="15.75" x14ac:dyDescent="0.25">
      <c r="A314" s="39"/>
      <c r="B314" s="241" t="s">
        <v>16</v>
      </c>
      <c r="C314" s="241"/>
      <c r="D314" s="242"/>
      <c r="E314" s="40"/>
      <c r="F314" s="41">
        <f>+F313+F312+F311</f>
        <v>111.19</v>
      </c>
    </row>
    <row r="315" spans="1:8" ht="15" customHeight="1" x14ac:dyDescent="0.25">
      <c r="A315" s="22"/>
      <c r="B315" s="22"/>
      <c r="C315" s="22"/>
      <c r="D315" s="234" t="s">
        <v>98</v>
      </c>
      <c r="E315" s="235"/>
      <c r="F315" s="42">
        <f>+F314+F303</f>
        <v>456.08000000000004</v>
      </c>
      <c r="G315" s="17">
        <f>+F315</f>
        <v>456.08000000000004</v>
      </c>
      <c r="H315" s="17">
        <f>+F303+F314+F317</f>
        <v>461.13200000000006</v>
      </c>
    </row>
    <row r="316" spans="1:8" ht="17.25" customHeight="1" x14ac:dyDescent="0.25">
      <c r="A316" s="22"/>
      <c r="B316" s="22"/>
      <c r="C316" s="22"/>
      <c r="D316" s="234" t="s">
        <v>99</v>
      </c>
      <c r="E316" s="235"/>
      <c r="F316" s="43">
        <f>+TRUNC(ROUND(F315/D288,2),2)</f>
        <v>12.63</v>
      </c>
      <c r="H316" s="18"/>
    </row>
    <row r="317" spans="1:8" ht="16.5" customHeight="1" x14ac:dyDescent="0.25">
      <c r="A317" s="22"/>
      <c r="B317" s="22"/>
      <c r="C317" s="22"/>
      <c r="D317" s="234" t="s">
        <v>100</v>
      </c>
      <c r="E317" s="235"/>
      <c r="F317" s="42">
        <f>+F316*INDIRECTOS</f>
        <v>5.0520000000000005</v>
      </c>
      <c r="H317" s="17"/>
    </row>
    <row r="318" spans="1:8" ht="15.75" customHeight="1" x14ac:dyDescent="0.25">
      <c r="A318" s="22"/>
      <c r="B318" s="22"/>
      <c r="C318" s="22"/>
      <c r="D318" s="234" t="s">
        <v>101</v>
      </c>
      <c r="E318" s="235"/>
      <c r="F318" s="44">
        <f>+F317+F316</f>
        <v>17.682000000000002</v>
      </c>
    </row>
    <row r="319" spans="1:8" ht="15.75" customHeight="1" x14ac:dyDescent="0.25">
      <c r="A319" s="22"/>
      <c r="B319" s="22"/>
      <c r="C319" s="22"/>
      <c r="D319" s="63"/>
      <c r="E319" s="63"/>
      <c r="F319" s="64"/>
    </row>
    <row r="320" spans="1:8" ht="15.75" customHeight="1" x14ac:dyDescent="0.25">
      <c r="A320" s="22"/>
      <c r="B320" s="22"/>
      <c r="C320" s="22"/>
      <c r="D320" s="63"/>
      <c r="E320" s="63"/>
      <c r="F320" s="64"/>
    </row>
    <row r="321" spans="1:8" ht="67.5" customHeight="1" x14ac:dyDescent="0.25">
      <c r="A321" s="45" t="s">
        <v>2</v>
      </c>
      <c r="B321" s="69">
        <v>4</v>
      </c>
      <c r="C321" s="46" t="s">
        <v>3</v>
      </c>
      <c r="D321" s="89" t="s">
        <v>175</v>
      </c>
      <c r="E321" s="48" t="s">
        <v>5</v>
      </c>
      <c r="F321" s="91" t="str">
        <f>F287</f>
        <v>CASA RUDY MAEDA</v>
      </c>
    </row>
    <row r="322" spans="1:8" ht="75" customHeight="1" x14ac:dyDescent="0.25">
      <c r="A322" s="49" t="s">
        <v>0</v>
      </c>
      <c r="B322" s="83" t="s">
        <v>110</v>
      </c>
      <c r="C322" s="50" t="s">
        <v>4</v>
      </c>
      <c r="D322" s="85">
        <v>9.6</v>
      </c>
      <c r="E322" s="51" t="s">
        <v>7</v>
      </c>
      <c r="F322" s="21" t="str">
        <f>F288</f>
        <v>ALDEA EL TULE</v>
      </c>
    </row>
    <row r="323" spans="1:8" ht="15.75" x14ac:dyDescent="0.25">
      <c r="A323" s="52" t="s">
        <v>1</v>
      </c>
      <c r="B323" s="70">
        <v>4.3</v>
      </c>
      <c r="C323" s="53"/>
      <c r="D323" s="54"/>
      <c r="E323" s="55" t="s">
        <v>6</v>
      </c>
      <c r="F323" s="56">
        <f>F289</f>
        <v>42436</v>
      </c>
    </row>
    <row r="324" spans="1:8" ht="15.75" x14ac:dyDescent="0.25">
      <c r="A324" s="57"/>
      <c r="B324" s="57"/>
      <c r="C324" s="57"/>
      <c r="D324" s="57"/>
      <c r="E324" s="57"/>
      <c r="F324" s="57"/>
    </row>
    <row r="325" spans="1:8" ht="28.5" x14ac:dyDescent="0.25">
      <c r="A325" s="243" t="s">
        <v>9</v>
      </c>
      <c r="B325" s="244"/>
      <c r="C325" s="67" t="s">
        <v>10</v>
      </c>
      <c r="D325" s="59" t="s">
        <v>11</v>
      </c>
      <c r="E325" s="60" t="s">
        <v>12</v>
      </c>
      <c r="F325" s="61" t="s">
        <v>13</v>
      </c>
    </row>
    <row r="326" spans="1:8" ht="15.75" x14ac:dyDescent="0.25">
      <c r="A326" s="245" t="s">
        <v>8</v>
      </c>
      <c r="B326" s="246"/>
      <c r="C326" s="22"/>
      <c r="D326" s="22"/>
      <c r="E326" s="22"/>
      <c r="F326" s="22"/>
    </row>
    <row r="327" spans="1:8" ht="15.75" x14ac:dyDescent="0.25">
      <c r="A327" s="247" t="s">
        <v>155</v>
      </c>
      <c r="B327" s="248"/>
      <c r="C327" s="23">
        <f>+E336*9</f>
        <v>1.2096000000000002</v>
      </c>
      <c r="D327" s="24" t="s">
        <v>163</v>
      </c>
      <c r="E327" s="25">
        <v>72</v>
      </c>
      <c r="F327" s="23">
        <f t="shared" ref="F327:F335" si="20">+TRUNC(ROUND(E327*C327,2),2)</f>
        <v>87.09</v>
      </c>
    </row>
    <row r="328" spans="1:8" ht="15.75" x14ac:dyDescent="0.25">
      <c r="A328" s="236" t="s">
        <v>32</v>
      </c>
      <c r="B328" s="237"/>
      <c r="C328" s="26">
        <f>+E336*0.55*1.33</f>
        <v>9.8313600000000029E-2</v>
      </c>
      <c r="D328" s="27" t="s">
        <v>102</v>
      </c>
      <c r="E328" s="28">
        <v>130</v>
      </c>
      <c r="F328" s="26">
        <f t="shared" si="20"/>
        <v>12.78</v>
      </c>
    </row>
    <row r="329" spans="1:8" ht="15.75" x14ac:dyDescent="0.25">
      <c r="A329" s="236" t="s">
        <v>34</v>
      </c>
      <c r="B329" s="237"/>
      <c r="C329" s="26">
        <f>+E336*0.55*1.15</f>
        <v>8.5008000000000014E-2</v>
      </c>
      <c r="D329" s="27" t="s">
        <v>102</v>
      </c>
      <c r="E329" s="28">
        <v>150</v>
      </c>
      <c r="F329" s="26">
        <f t="shared" si="20"/>
        <v>12.75</v>
      </c>
    </row>
    <row r="330" spans="1:8" ht="15.75" x14ac:dyDescent="0.25">
      <c r="A330" s="236" t="s">
        <v>156</v>
      </c>
      <c r="B330" s="237"/>
      <c r="C330" s="26">
        <f>+D322*0.75</f>
        <v>7.1999999999999993</v>
      </c>
      <c r="D330" s="27" t="s">
        <v>164</v>
      </c>
      <c r="E330" s="28">
        <v>13</v>
      </c>
      <c r="F330" s="26">
        <f t="shared" si="20"/>
        <v>93.6</v>
      </c>
      <c r="H330">
        <f>+C330/13</f>
        <v>0.55384615384615377</v>
      </c>
    </row>
    <row r="331" spans="1:8" ht="15.75" x14ac:dyDescent="0.25">
      <c r="A331" s="236" t="s">
        <v>29</v>
      </c>
      <c r="B331" s="237"/>
      <c r="C331" s="26">
        <f>+D322/0.2*0.68/6</f>
        <v>5.44</v>
      </c>
      <c r="D331" s="27" t="s">
        <v>164</v>
      </c>
      <c r="E331" s="28">
        <v>6</v>
      </c>
      <c r="F331" s="26">
        <f t="shared" si="20"/>
        <v>32.64</v>
      </c>
      <c r="H331">
        <f>+C331/30</f>
        <v>0.18133333333333335</v>
      </c>
    </row>
    <row r="332" spans="1:8" ht="15.75" x14ac:dyDescent="0.25">
      <c r="A332" s="236" t="s">
        <v>58</v>
      </c>
      <c r="B332" s="237"/>
      <c r="C332" s="26">
        <f>+C334*0.03</f>
        <v>0</v>
      </c>
      <c r="D332" s="27" t="s">
        <v>165</v>
      </c>
      <c r="E332" s="28">
        <f>+CLAVO</f>
        <v>5.5</v>
      </c>
      <c r="F332" s="26">
        <f t="shared" si="20"/>
        <v>0</v>
      </c>
      <c r="H332">
        <f>SUM(H330:H331)</f>
        <v>0.73517948717948711</v>
      </c>
    </row>
    <row r="333" spans="1:8" ht="15.75" x14ac:dyDescent="0.25">
      <c r="A333" s="236" t="s">
        <v>57</v>
      </c>
      <c r="B333" s="237"/>
      <c r="C333" s="26">
        <f>+H332*3.5</f>
        <v>2.5731282051282047</v>
      </c>
      <c r="D333" s="27" t="s">
        <v>165</v>
      </c>
      <c r="E333" s="28">
        <v>4.25</v>
      </c>
      <c r="F333" s="26">
        <f t="shared" si="20"/>
        <v>10.94</v>
      </c>
    </row>
    <row r="334" spans="1:8" ht="15.75" x14ac:dyDescent="0.25">
      <c r="A334" s="236" t="s">
        <v>152</v>
      </c>
      <c r="B334" s="237"/>
      <c r="C334" s="26">
        <f>+C337*24*1/12</f>
        <v>0</v>
      </c>
      <c r="D334" s="27" t="s">
        <v>154</v>
      </c>
      <c r="E334" s="28">
        <f>+MADERA</f>
        <v>6</v>
      </c>
      <c r="F334" s="26">
        <f t="shared" si="20"/>
        <v>0</v>
      </c>
    </row>
    <row r="335" spans="1:8" ht="15.75" x14ac:dyDescent="0.25">
      <c r="A335" s="236" t="s">
        <v>52</v>
      </c>
      <c r="B335" s="237"/>
      <c r="C335" s="26"/>
      <c r="D335" s="27" t="s">
        <v>102</v>
      </c>
      <c r="E335" s="28">
        <f>+SELECTO</f>
        <v>60</v>
      </c>
      <c r="F335" s="26">
        <f t="shared" si="20"/>
        <v>0</v>
      </c>
    </row>
    <row r="336" spans="1:8" ht="15.75" x14ac:dyDescent="0.25">
      <c r="A336" s="39"/>
      <c r="B336" s="241" t="s">
        <v>14</v>
      </c>
      <c r="C336" s="241"/>
      <c r="D336" s="241"/>
      <c r="E336" s="84">
        <f>+D322*0.1*0.14</f>
        <v>0.13440000000000002</v>
      </c>
      <c r="F336" s="41">
        <f>SUM(F327:F335)</f>
        <v>249.8</v>
      </c>
    </row>
    <row r="337" spans="1:8" ht="15.75" x14ac:dyDescent="0.25">
      <c r="A337" s="249" t="s">
        <v>15</v>
      </c>
      <c r="B337" s="250"/>
      <c r="C337" s="22"/>
      <c r="D337" s="22"/>
      <c r="E337" s="22"/>
      <c r="F337" s="22"/>
    </row>
    <row r="338" spans="1:8" ht="15.75" x14ac:dyDescent="0.25">
      <c r="A338" s="251" t="s">
        <v>166</v>
      </c>
      <c r="B338" s="252"/>
      <c r="C338" s="65">
        <f>+D322*1.32</f>
        <v>12.672000000000001</v>
      </c>
      <c r="D338" s="66" t="s">
        <v>102</v>
      </c>
      <c r="E338" s="41">
        <v>30</v>
      </c>
      <c r="F338" s="41">
        <f t="shared" ref="F338:F343" si="21">+TRUNC(ROUND(E338*C338,2),2)</f>
        <v>380.16</v>
      </c>
    </row>
    <row r="339" spans="1:8" ht="15.75" x14ac:dyDescent="0.25">
      <c r="A339" s="236" t="s">
        <v>158</v>
      </c>
      <c r="B339" s="237"/>
      <c r="C339" s="28">
        <v>0</v>
      </c>
      <c r="D339" s="27" t="s">
        <v>102</v>
      </c>
      <c r="E339" s="26">
        <v>15</v>
      </c>
      <c r="F339" s="26">
        <f t="shared" si="21"/>
        <v>0</v>
      </c>
    </row>
    <row r="340" spans="1:8" ht="15.75" x14ac:dyDescent="0.25">
      <c r="A340" s="236" t="s">
        <v>159</v>
      </c>
      <c r="B340" s="237"/>
      <c r="C340" s="28">
        <f>+C330*6</f>
        <v>43.199999999999996</v>
      </c>
      <c r="D340" s="27" t="s">
        <v>160</v>
      </c>
      <c r="E340" s="26">
        <v>1.2</v>
      </c>
      <c r="F340" s="26">
        <f t="shared" si="21"/>
        <v>51.84</v>
      </c>
    </row>
    <row r="341" spans="1:8" ht="15.75" x14ac:dyDescent="0.25">
      <c r="A341" s="236" t="s">
        <v>161</v>
      </c>
      <c r="B341" s="237"/>
      <c r="C341" s="28">
        <f>+C331*6</f>
        <v>32.64</v>
      </c>
      <c r="D341" s="27" t="s">
        <v>149</v>
      </c>
      <c r="E341" s="26">
        <v>0.8</v>
      </c>
      <c r="F341" s="26">
        <f t="shared" si="21"/>
        <v>26.11</v>
      </c>
    </row>
    <row r="342" spans="1:8" ht="15.75" x14ac:dyDescent="0.25">
      <c r="A342" s="236" t="s">
        <v>162</v>
      </c>
      <c r="B342" s="237"/>
      <c r="C342" s="28">
        <f>+E336</f>
        <v>0.13440000000000002</v>
      </c>
      <c r="D342" s="27" t="s">
        <v>102</v>
      </c>
      <c r="E342" s="26">
        <v>150</v>
      </c>
      <c r="F342" s="26">
        <f t="shared" si="21"/>
        <v>20.16</v>
      </c>
    </row>
    <row r="343" spans="1:8" ht="15.75" x14ac:dyDescent="0.25">
      <c r="A343" s="236"/>
      <c r="B343" s="237"/>
      <c r="C343" s="28"/>
      <c r="D343" s="27"/>
      <c r="E343" s="26"/>
      <c r="F343" s="26">
        <f t="shared" si="21"/>
        <v>0</v>
      </c>
    </row>
    <row r="344" spans="1:8" ht="15.75" x14ac:dyDescent="0.25">
      <c r="A344" s="29"/>
      <c r="B344" s="30"/>
      <c r="C344" s="238" t="s">
        <v>96</v>
      </c>
      <c r="D344" s="239"/>
      <c r="E344" s="240"/>
      <c r="F344" s="26">
        <f>SUM(F338:F343)</f>
        <v>478.27000000000004</v>
      </c>
    </row>
    <row r="345" spans="1:8" ht="15.75" x14ac:dyDescent="0.25">
      <c r="A345" s="31"/>
      <c r="B345" s="68" t="s">
        <v>17</v>
      </c>
      <c r="C345" s="33">
        <f>+AYUDANTE</f>
        <v>40</v>
      </c>
      <c r="D345" s="27" t="s">
        <v>97</v>
      </c>
      <c r="E345" s="26"/>
      <c r="F345" s="23">
        <f>+TRUNC(ROUND(E345*C345,2),2)/100</f>
        <v>0</v>
      </c>
    </row>
    <row r="346" spans="1:8" ht="15.75" x14ac:dyDescent="0.25">
      <c r="A346" s="34"/>
      <c r="B346" s="35" t="s">
        <v>18</v>
      </c>
      <c r="C346" s="36">
        <f>+PRESTACIONES</f>
        <v>40</v>
      </c>
      <c r="D346" s="37" t="s">
        <v>97</v>
      </c>
      <c r="E346" s="38"/>
      <c r="F346" s="38">
        <f>+TRUNC(ROUND(E346*C346,2),2)/100</f>
        <v>0</v>
      </c>
    </row>
    <row r="347" spans="1:8" ht="15.75" x14ac:dyDescent="0.25">
      <c r="A347" s="39"/>
      <c r="B347" s="241" t="s">
        <v>16</v>
      </c>
      <c r="C347" s="241"/>
      <c r="D347" s="242"/>
      <c r="E347" s="40"/>
      <c r="F347" s="41">
        <f>+F346+F345+F344</f>
        <v>478.27000000000004</v>
      </c>
    </row>
    <row r="348" spans="1:8" ht="15" customHeight="1" x14ac:dyDescent="0.25">
      <c r="A348" s="22"/>
      <c r="B348" s="22"/>
      <c r="C348" s="22"/>
      <c r="D348" s="234" t="s">
        <v>98</v>
      </c>
      <c r="E348" s="235"/>
      <c r="F348" s="42">
        <f>+F347+F336</f>
        <v>728.07</v>
      </c>
      <c r="G348" s="17">
        <f>+F348</f>
        <v>728.07</v>
      </c>
      <c r="H348" s="17">
        <f>+F336+F347+F350</f>
        <v>758.40600000000006</v>
      </c>
    </row>
    <row r="349" spans="1:8" ht="17.25" customHeight="1" x14ac:dyDescent="0.25">
      <c r="A349" s="22"/>
      <c r="B349" s="22"/>
      <c r="C349" s="22"/>
      <c r="D349" s="234" t="s">
        <v>99</v>
      </c>
      <c r="E349" s="235"/>
      <c r="F349" s="43">
        <f>+TRUNC(ROUND(F348/D322,2),2)</f>
        <v>75.84</v>
      </c>
      <c r="H349" s="18"/>
    </row>
    <row r="350" spans="1:8" ht="16.5" customHeight="1" x14ac:dyDescent="0.25">
      <c r="A350" s="22"/>
      <c r="B350" s="22"/>
      <c r="C350" s="22"/>
      <c r="D350" s="234" t="s">
        <v>100</v>
      </c>
      <c r="E350" s="235"/>
      <c r="F350" s="42">
        <f>+F349*INDIRECTOS</f>
        <v>30.336000000000002</v>
      </c>
      <c r="H350" s="17"/>
    </row>
    <row r="351" spans="1:8" ht="15.75" customHeight="1" x14ac:dyDescent="0.25">
      <c r="A351" s="22"/>
      <c r="B351" s="22"/>
      <c r="C351" s="22"/>
      <c r="D351" s="234" t="s">
        <v>101</v>
      </c>
      <c r="E351" s="235"/>
      <c r="F351" s="44">
        <f>+F350+F349</f>
        <v>106.176</v>
      </c>
    </row>
    <row r="352" spans="1:8" ht="15.75" customHeight="1" x14ac:dyDescent="0.25">
      <c r="A352" s="22"/>
      <c r="B352" s="22"/>
      <c r="C352" s="22"/>
      <c r="D352" s="63"/>
      <c r="E352" s="63"/>
      <c r="F352" s="64"/>
    </row>
    <row r="353" spans="1:8" ht="67.5" customHeight="1" x14ac:dyDescent="0.25">
      <c r="A353" s="45" t="s">
        <v>2</v>
      </c>
      <c r="B353" s="69">
        <v>4</v>
      </c>
      <c r="C353" s="46" t="s">
        <v>3</v>
      </c>
      <c r="D353" s="47" t="s">
        <v>175</v>
      </c>
      <c r="E353" s="48" t="s">
        <v>5</v>
      </c>
      <c r="F353" s="91" t="str">
        <f>F321</f>
        <v>CASA RUDY MAEDA</v>
      </c>
    </row>
    <row r="354" spans="1:8" ht="75" customHeight="1" x14ac:dyDescent="0.25">
      <c r="A354" s="49" t="s">
        <v>0</v>
      </c>
      <c r="B354" s="83" t="s">
        <v>111</v>
      </c>
      <c r="C354" s="50" t="s">
        <v>4</v>
      </c>
      <c r="D354" s="85">
        <v>9.6</v>
      </c>
      <c r="E354" s="51" t="s">
        <v>7</v>
      </c>
      <c r="F354" s="21" t="str">
        <f>F322</f>
        <v>ALDEA EL TULE</v>
      </c>
    </row>
    <row r="355" spans="1:8" ht="15.75" x14ac:dyDescent="0.25">
      <c r="A355" s="52" t="s">
        <v>1</v>
      </c>
      <c r="B355" s="70">
        <v>4.4000000000000004</v>
      </c>
      <c r="C355" s="53"/>
      <c r="D355" s="54"/>
      <c r="E355" s="55" t="s">
        <v>6</v>
      </c>
      <c r="F355" s="56">
        <f>+F323</f>
        <v>42436</v>
      </c>
    </row>
    <row r="356" spans="1:8" ht="15.75" x14ac:dyDescent="0.25">
      <c r="A356" s="57"/>
      <c r="B356" s="57"/>
      <c r="C356" s="57"/>
      <c r="D356" s="57"/>
      <c r="E356" s="57"/>
      <c r="F356" s="57"/>
    </row>
    <row r="357" spans="1:8" ht="28.5" x14ac:dyDescent="0.25">
      <c r="A357" s="243" t="s">
        <v>9</v>
      </c>
      <c r="B357" s="244"/>
      <c r="C357" s="67" t="s">
        <v>10</v>
      </c>
      <c r="D357" s="59" t="s">
        <v>11</v>
      </c>
      <c r="E357" s="60" t="s">
        <v>12</v>
      </c>
      <c r="F357" s="61" t="s">
        <v>13</v>
      </c>
    </row>
    <row r="358" spans="1:8" ht="15.75" x14ac:dyDescent="0.25">
      <c r="A358" s="245" t="s">
        <v>8</v>
      </c>
      <c r="B358" s="246"/>
      <c r="C358" s="22"/>
      <c r="D358" s="22"/>
      <c r="E358" s="22"/>
      <c r="F358" s="22"/>
    </row>
    <row r="359" spans="1:8" ht="15.75" x14ac:dyDescent="0.25">
      <c r="A359" s="247" t="s">
        <v>155</v>
      </c>
      <c r="B359" s="248"/>
      <c r="C359" s="23">
        <f>+E368*9</f>
        <v>1.2096000000000002</v>
      </c>
      <c r="D359" s="24" t="s">
        <v>163</v>
      </c>
      <c r="E359" s="25">
        <v>72</v>
      </c>
      <c r="F359" s="23">
        <f t="shared" ref="F359:F367" si="22">+TRUNC(ROUND(E359*C359,2),2)</f>
        <v>87.09</v>
      </c>
    </row>
    <row r="360" spans="1:8" ht="15.75" x14ac:dyDescent="0.25">
      <c r="A360" s="236" t="s">
        <v>32</v>
      </c>
      <c r="B360" s="237"/>
      <c r="C360" s="26">
        <f>+E368*0.55*1.33</f>
        <v>9.8313600000000029E-2</v>
      </c>
      <c r="D360" s="27" t="s">
        <v>102</v>
      </c>
      <c r="E360" s="28">
        <v>130</v>
      </c>
      <c r="F360" s="26">
        <f t="shared" si="22"/>
        <v>12.78</v>
      </c>
    </row>
    <row r="361" spans="1:8" ht="15.75" x14ac:dyDescent="0.25">
      <c r="A361" s="236" t="s">
        <v>34</v>
      </c>
      <c r="B361" s="237"/>
      <c r="C361" s="26">
        <f>+E368*0.55*1.15</f>
        <v>8.5008000000000014E-2</v>
      </c>
      <c r="D361" s="27" t="s">
        <v>102</v>
      </c>
      <c r="E361" s="28">
        <v>150</v>
      </c>
      <c r="F361" s="26">
        <f t="shared" si="22"/>
        <v>12.75</v>
      </c>
    </row>
    <row r="362" spans="1:8" ht="15.75" x14ac:dyDescent="0.25">
      <c r="A362" s="236" t="s">
        <v>156</v>
      </c>
      <c r="B362" s="237"/>
      <c r="C362" s="26">
        <f>+D354*0.75</f>
        <v>7.1999999999999993</v>
      </c>
      <c r="D362" s="27" t="s">
        <v>164</v>
      </c>
      <c r="E362" s="28">
        <v>13</v>
      </c>
      <c r="F362" s="26">
        <f t="shared" si="22"/>
        <v>93.6</v>
      </c>
      <c r="H362">
        <f>+C362/13</f>
        <v>0.55384615384615377</v>
      </c>
    </row>
    <row r="363" spans="1:8" ht="15.75" x14ac:dyDescent="0.25">
      <c r="A363" s="236" t="s">
        <v>29</v>
      </c>
      <c r="B363" s="237"/>
      <c r="C363" s="26">
        <f>+D354/0.2*0.68/6</f>
        <v>5.44</v>
      </c>
      <c r="D363" s="27" t="s">
        <v>164</v>
      </c>
      <c r="E363" s="28">
        <v>6</v>
      </c>
      <c r="F363" s="26">
        <f t="shared" si="22"/>
        <v>32.64</v>
      </c>
      <c r="H363">
        <f>+C363/30</f>
        <v>0.18133333333333335</v>
      </c>
    </row>
    <row r="364" spans="1:8" ht="15.75" x14ac:dyDescent="0.25">
      <c r="A364" s="236" t="s">
        <v>58</v>
      </c>
      <c r="B364" s="237"/>
      <c r="C364" s="26">
        <f>+C366*0.03</f>
        <v>0</v>
      </c>
      <c r="D364" s="27" t="s">
        <v>165</v>
      </c>
      <c r="E364" s="28">
        <f>+CLAVO</f>
        <v>5.5</v>
      </c>
      <c r="F364" s="26">
        <f t="shared" si="22"/>
        <v>0</v>
      </c>
      <c r="H364">
        <f>SUM(H362:H363)</f>
        <v>0.73517948717948711</v>
      </c>
    </row>
    <row r="365" spans="1:8" ht="15.75" x14ac:dyDescent="0.25">
      <c r="A365" s="236" t="s">
        <v>57</v>
      </c>
      <c r="B365" s="237"/>
      <c r="C365" s="26">
        <f>+H364*3.5</f>
        <v>2.5731282051282047</v>
      </c>
      <c r="D365" s="27" t="s">
        <v>165</v>
      </c>
      <c r="E365" s="28">
        <v>4.25</v>
      </c>
      <c r="F365" s="26">
        <f t="shared" si="22"/>
        <v>10.94</v>
      </c>
    </row>
    <row r="366" spans="1:8" ht="15.75" x14ac:dyDescent="0.25">
      <c r="A366" s="236" t="s">
        <v>152</v>
      </c>
      <c r="B366" s="237"/>
      <c r="C366" s="26">
        <f>+C369*24*1/12</f>
        <v>0</v>
      </c>
      <c r="D366" s="27" t="s">
        <v>154</v>
      </c>
      <c r="E366" s="28">
        <f>+MADERA</f>
        <v>6</v>
      </c>
      <c r="F366" s="26">
        <f t="shared" si="22"/>
        <v>0</v>
      </c>
    </row>
    <row r="367" spans="1:8" ht="15.75" x14ac:dyDescent="0.25">
      <c r="A367" s="236" t="s">
        <v>52</v>
      </c>
      <c r="B367" s="237"/>
      <c r="C367" s="26"/>
      <c r="D367" s="27" t="s">
        <v>102</v>
      </c>
      <c r="E367" s="28">
        <f>+SELECTO</f>
        <v>60</v>
      </c>
      <c r="F367" s="26">
        <f t="shared" si="22"/>
        <v>0</v>
      </c>
    </row>
    <row r="368" spans="1:8" ht="15.75" x14ac:dyDescent="0.25">
      <c r="A368" s="39"/>
      <c r="B368" s="241" t="s">
        <v>14</v>
      </c>
      <c r="C368" s="241"/>
      <c r="D368" s="241"/>
      <c r="E368" s="84">
        <f>+D354*0.1*0.14</f>
        <v>0.13440000000000002</v>
      </c>
      <c r="F368" s="41">
        <f>SUM(F359:F367)</f>
        <v>249.8</v>
      </c>
    </row>
    <row r="369" spans="1:8" ht="15.75" x14ac:dyDescent="0.25">
      <c r="A369" s="249" t="s">
        <v>15</v>
      </c>
      <c r="B369" s="250"/>
      <c r="C369" s="22"/>
      <c r="D369" s="22"/>
      <c r="E369" s="22"/>
      <c r="F369" s="22"/>
    </row>
    <row r="370" spans="1:8" ht="15.75" x14ac:dyDescent="0.25">
      <c r="A370" s="251" t="s">
        <v>166</v>
      </c>
      <c r="B370" s="252"/>
      <c r="C370" s="65">
        <f>+D354*1.32</f>
        <v>12.672000000000001</v>
      </c>
      <c r="D370" s="66" t="s">
        <v>102</v>
      </c>
      <c r="E370" s="41">
        <v>30</v>
      </c>
      <c r="F370" s="41">
        <f t="shared" ref="F370:F375" si="23">+TRUNC(ROUND(E370*C370,2),2)</f>
        <v>380.16</v>
      </c>
    </row>
    <row r="371" spans="1:8" ht="15.75" x14ac:dyDescent="0.25">
      <c r="A371" s="236" t="s">
        <v>158</v>
      </c>
      <c r="B371" s="237"/>
      <c r="C371" s="28">
        <v>0</v>
      </c>
      <c r="D371" s="27" t="s">
        <v>102</v>
      </c>
      <c r="E371" s="26">
        <v>15</v>
      </c>
      <c r="F371" s="26">
        <f t="shared" si="23"/>
        <v>0</v>
      </c>
    </row>
    <row r="372" spans="1:8" ht="15.75" x14ac:dyDescent="0.25">
      <c r="A372" s="236" t="s">
        <v>159</v>
      </c>
      <c r="B372" s="237"/>
      <c r="C372" s="28">
        <f>+C362*6</f>
        <v>43.199999999999996</v>
      </c>
      <c r="D372" s="27" t="s">
        <v>160</v>
      </c>
      <c r="E372" s="26">
        <v>1.2</v>
      </c>
      <c r="F372" s="26">
        <f t="shared" si="23"/>
        <v>51.84</v>
      </c>
    </row>
    <row r="373" spans="1:8" ht="15.75" x14ac:dyDescent="0.25">
      <c r="A373" s="236" t="s">
        <v>161</v>
      </c>
      <c r="B373" s="237"/>
      <c r="C373" s="28">
        <f>+C363*6</f>
        <v>32.64</v>
      </c>
      <c r="D373" s="27" t="s">
        <v>149</v>
      </c>
      <c r="E373" s="26">
        <v>0.8</v>
      </c>
      <c r="F373" s="26">
        <f t="shared" si="23"/>
        <v>26.11</v>
      </c>
    </row>
    <row r="374" spans="1:8" ht="15.75" x14ac:dyDescent="0.25">
      <c r="A374" s="236" t="s">
        <v>162</v>
      </c>
      <c r="B374" s="237"/>
      <c r="C374" s="28">
        <f>+E368</f>
        <v>0.13440000000000002</v>
      </c>
      <c r="D374" s="27" t="s">
        <v>102</v>
      </c>
      <c r="E374" s="26">
        <v>40</v>
      </c>
      <c r="F374" s="26">
        <f t="shared" si="23"/>
        <v>5.38</v>
      </c>
    </row>
    <row r="375" spans="1:8" ht="15.75" x14ac:dyDescent="0.25">
      <c r="A375" s="236"/>
      <c r="B375" s="237"/>
      <c r="C375" s="28"/>
      <c r="D375" s="27"/>
      <c r="E375" s="26"/>
      <c r="F375" s="26">
        <f t="shared" si="23"/>
        <v>0</v>
      </c>
    </row>
    <row r="376" spans="1:8" ht="15.75" x14ac:dyDescent="0.25">
      <c r="A376" s="29"/>
      <c r="B376" s="30"/>
      <c r="C376" s="238" t="s">
        <v>96</v>
      </c>
      <c r="D376" s="239"/>
      <c r="E376" s="240"/>
      <c r="F376" s="26">
        <f>SUM(F370:F375)</f>
        <v>463.49</v>
      </c>
    </row>
    <row r="377" spans="1:8" ht="15.75" x14ac:dyDescent="0.25">
      <c r="A377" s="31"/>
      <c r="B377" s="68" t="s">
        <v>17</v>
      </c>
      <c r="C377" s="33">
        <f>+AYUDANTE</f>
        <v>40</v>
      </c>
      <c r="D377" s="27" t="s">
        <v>97</v>
      </c>
      <c r="E377" s="26"/>
      <c r="F377" s="23">
        <f>+TRUNC(ROUND(E377*C377,2),2)/100</f>
        <v>0</v>
      </c>
    </row>
    <row r="378" spans="1:8" ht="15.75" x14ac:dyDescent="0.25">
      <c r="A378" s="34"/>
      <c r="B378" s="35" t="s">
        <v>18</v>
      </c>
      <c r="C378" s="36">
        <f>+PRESTACIONES</f>
        <v>40</v>
      </c>
      <c r="D378" s="37" t="s">
        <v>97</v>
      </c>
      <c r="E378" s="38"/>
      <c r="F378" s="38">
        <f>+TRUNC(ROUND(E378*C378,2),2)/100</f>
        <v>0</v>
      </c>
    </row>
    <row r="379" spans="1:8" ht="15.75" x14ac:dyDescent="0.25">
      <c r="A379" s="39"/>
      <c r="B379" s="241" t="s">
        <v>16</v>
      </c>
      <c r="C379" s="241"/>
      <c r="D379" s="242"/>
      <c r="E379" s="40"/>
      <c r="F379" s="41">
        <f>+F378+F377+F376</f>
        <v>463.49</v>
      </c>
    </row>
    <row r="380" spans="1:8" ht="15" customHeight="1" x14ac:dyDescent="0.25">
      <c r="A380" s="22"/>
      <c r="B380" s="22"/>
      <c r="C380" s="22"/>
      <c r="D380" s="234" t="s">
        <v>98</v>
      </c>
      <c r="E380" s="235"/>
      <c r="F380" s="42">
        <f>+F379+F368</f>
        <v>713.29</v>
      </c>
      <c r="G380" s="17">
        <f>+F380</f>
        <v>713.29</v>
      </c>
      <c r="H380" s="17">
        <f>+F368+F379+F382</f>
        <v>743.01</v>
      </c>
    </row>
    <row r="381" spans="1:8" ht="17.25" customHeight="1" x14ac:dyDescent="0.25">
      <c r="A381" s="22"/>
      <c r="B381" s="22"/>
      <c r="C381" s="22"/>
      <c r="D381" s="234" t="s">
        <v>99</v>
      </c>
      <c r="E381" s="235"/>
      <c r="F381" s="43">
        <f>+TRUNC(ROUND(F380/D354,2),2)</f>
        <v>74.3</v>
      </c>
      <c r="H381" s="18"/>
    </row>
    <row r="382" spans="1:8" ht="16.5" customHeight="1" x14ac:dyDescent="0.25">
      <c r="A382" s="22"/>
      <c r="B382" s="22"/>
      <c r="C382" s="22"/>
      <c r="D382" s="234" t="s">
        <v>100</v>
      </c>
      <c r="E382" s="235"/>
      <c r="F382" s="42">
        <f>+F381*INDIRECTOS</f>
        <v>29.72</v>
      </c>
      <c r="H382" s="17"/>
    </row>
    <row r="383" spans="1:8" ht="15.75" customHeight="1" x14ac:dyDescent="0.25">
      <c r="A383" s="22"/>
      <c r="B383" s="22"/>
      <c r="C383" s="22"/>
      <c r="D383" s="234" t="s">
        <v>101</v>
      </c>
      <c r="E383" s="235"/>
      <c r="F383" s="44">
        <f>+F382+F381</f>
        <v>104.02</v>
      </c>
    </row>
    <row r="384" spans="1:8" ht="15.75" customHeight="1" x14ac:dyDescent="0.25">
      <c r="A384" s="22"/>
      <c r="B384" s="22"/>
      <c r="C384" s="22"/>
      <c r="D384" s="63"/>
      <c r="E384" s="63"/>
      <c r="F384" s="64"/>
    </row>
    <row r="385" spans="1:8" ht="15.75" customHeight="1" x14ac:dyDescent="0.25">
      <c r="A385" s="22"/>
      <c r="B385" s="22"/>
      <c r="C385" s="22"/>
      <c r="D385" s="63"/>
      <c r="E385" s="63"/>
      <c r="F385" s="64"/>
    </row>
    <row r="386" spans="1:8" ht="67.5" customHeight="1" x14ac:dyDescent="0.25">
      <c r="A386" s="98" t="s">
        <v>2</v>
      </c>
      <c r="B386" s="99">
        <v>5</v>
      </c>
      <c r="C386" s="100" t="s">
        <v>3</v>
      </c>
      <c r="D386" s="101" t="s">
        <v>175</v>
      </c>
      <c r="E386" s="102" t="s">
        <v>5</v>
      </c>
      <c r="F386" s="103" t="str">
        <f>F353</f>
        <v>CASA RUDY MAEDA</v>
      </c>
      <c r="G386" s="90"/>
    </row>
    <row r="387" spans="1:8" ht="75" customHeight="1" x14ac:dyDescent="0.25">
      <c r="A387" s="104" t="s">
        <v>0</v>
      </c>
      <c r="B387" s="143" t="s">
        <v>229</v>
      </c>
      <c r="C387" s="105" t="s">
        <v>4</v>
      </c>
      <c r="D387" s="145">
        <v>39</v>
      </c>
      <c r="E387" s="106" t="s">
        <v>7</v>
      </c>
      <c r="F387" s="107" t="str">
        <f>F354</f>
        <v>ALDEA EL TULE</v>
      </c>
    </row>
    <row r="388" spans="1:8" ht="15.75" x14ac:dyDescent="0.25">
      <c r="A388" s="108" t="s">
        <v>1</v>
      </c>
      <c r="B388" s="109">
        <v>5.0999999999999996</v>
      </c>
      <c r="C388" s="110"/>
      <c r="D388" s="111"/>
      <c r="E388" s="112" t="s">
        <v>6</v>
      </c>
      <c r="F388" s="113">
        <f>F355</f>
        <v>42436</v>
      </c>
    </row>
    <row r="389" spans="1:8" ht="15.75" x14ac:dyDescent="0.25">
      <c r="A389" s="114"/>
      <c r="B389" s="114"/>
      <c r="C389" s="114"/>
      <c r="D389" s="114"/>
      <c r="E389" s="114"/>
      <c r="F389" s="114"/>
    </row>
    <row r="390" spans="1:8" ht="28.5" x14ac:dyDescent="0.25">
      <c r="A390" s="271" t="s">
        <v>9</v>
      </c>
      <c r="B390" s="272"/>
      <c r="C390" s="115" t="s">
        <v>10</v>
      </c>
      <c r="D390" s="116" t="s">
        <v>11</v>
      </c>
      <c r="E390" s="117" t="s">
        <v>12</v>
      </c>
      <c r="F390" s="117" t="s">
        <v>13</v>
      </c>
    </row>
    <row r="391" spans="1:8" ht="15.75" x14ac:dyDescent="0.25">
      <c r="A391" s="260" t="s">
        <v>8</v>
      </c>
      <c r="B391" s="261"/>
      <c r="C391" s="118"/>
      <c r="D391" s="118"/>
      <c r="E391" s="118"/>
      <c r="F391" s="118"/>
    </row>
    <row r="392" spans="1:8" ht="15.75" x14ac:dyDescent="0.25">
      <c r="A392" s="264" t="s">
        <v>155</v>
      </c>
      <c r="B392" s="265"/>
      <c r="C392" s="119">
        <f>+E401*9</f>
        <v>10.530000000000001</v>
      </c>
      <c r="D392" s="120" t="s">
        <v>163</v>
      </c>
      <c r="E392" s="121">
        <v>72</v>
      </c>
      <c r="F392" s="119">
        <f t="shared" ref="F392:F400" si="24">+TRUNC(ROUND(E392*C392,2),2)</f>
        <v>758.16</v>
      </c>
    </row>
    <row r="393" spans="1:8" ht="15.75" x14ac:dyDescent="0.25">
      <c r="A393" s="253" t="s">
        <v>32</v>
      </c>
      <c r="B393" s="254"/>
      <c r="C393" s="122">
        <f>+E401*0.55*1.33</f>
        <v>0.85585500000000025</v>
      </c>
      <c r="D393" s="123" t="s">
        <v>102</v>
      </c>
      <c r="E393" s="124">
        <v>130</v>
      </c>
      <c r="F393" s="122">
        <f t="shared" si="24"/>
        <v>111.26</v>
      </c>
    </row>
    <row r="394" spans="1:8" ht="15.75" x14ac:dyDescent="0.25">
      <c r="A394" s="253" t="s">
        <v>34</v>
      </c>
      <c r="B394" s="254"/>
      <c r="C394" s="122">
        <f>+E401*0.6</f>
        <v>0.70200000000000007</v>
      </c>
      <c r="D394" s="123" t="s">
        <v>102</v>
      </c>
      <c r="E394" s="124">
        <v>150</v>
      </c>
      <c r="F394" s="122">
        <f t="shared" si="24"/>
        <v>105.3</v>
      </c>
    </row>
    <row r="395" spans="1:8" ht="15.75" x14ac:dyDescent="0.25">
      <c r="A395" s="253" t="s">
        <v>189</v>
      </c>
      <c r="B395" s="254"/>
      <c r="C395" s="122">
        <f>+D387*0.75</f>
        <v>29.25</v>
      </c>
      <c r="D395" s="123" t="s">
        <v>164</v>
      </c>
      <c r="E395" s="124">
        <v>13</v>
      </c>
      <c r="F395" s="122">
        <f t="shared" si="24"/>
        <v>380.25</v>
      </c>
      <c r="H395">
        <f>+C395/13</f>
        <v>2.25</v>
      </c>
    </row>
    <row r="396" spans="1:8" ht="15.75" x14ac:dyDescent="0.25">
      <c r="A396" s="253" t="s">
        <v>31</v>
      </c>
      <c r="B396" s="254"/>
      <c r="C396" s="122">
        <f>+D387/0.15*0.63/6</f>
        <v>27.3</v>
      </c>
      <c r="D396" s="123" t="s">
        <v>164</v>
      </c>
      <c r="E396" s="124">
        <v>6</v>
      </c>
      <c r="F396" s="122">
        <f t="shared" si="24"/>
        <v>163.80000000000001</v>
      </c>
      <c r="H396">
        <f>+C396/30</f>
        <v>0.91</v>
      </c>
    </row>
    <row r="397" spans="1:8" ht="15.75" x14ac:dyDescent="0.25">
      <c r="A397" s="253" t="s">
        <v>58</v>
      </c>
      <c r="B397" s="254"/>
      <c r="C397" s="122">
        <f>+C399*0.03</f>
        <v>0</v>
      </c>
      <c r="D397" s="123" t="s">
        <v>165</v>
      </c>
      <c r="E397" s="124">
        <f>+CLAVO</f>
        <v>5.5</v>
      </c>
      <c r="F397" s="122">
        <f t="shared" si="24"/>
        <v>0</v>
      </c>
      <c r="H397">
        <f>SUM(H395:H396)</f>
        <v>3.16</v>
      </c>
    </row>
    <row r="398" spans="1:8" ht="15.75" x14ac:dyDescent="0.25">
      <c r="A398" s="253" t="s">
        <v>57</v>
      </c>
      <c r="B398" s="254"/>
      <c r="C398" s="122">
        <f>+H397*3.5</f>
        <v>11.06</v>
      </c>
      <c r="D398" s="123" t="s">
        <v>165</v>
      </c>
      <c r="E398" s="124">
        <v>4.25</v>
      </c>
      <c r="F398" s="122">
        <f t="shared" si="24"/>
        <v>47.01</v>
      </c>
    </row>
    <row r="399" spans="1:8" ht="15.75" x14ac:dyDescent="0.25">
      <c r="A399" s="253" t="s">
        <v>152</v>
      </c>
      <c r="B399" s="254"/>
      <c r="C399" s="122">
        <f>+C402*24*1/12</f>
        <v>0</v>
      </c>
      <c r="D399" s="123" t="s">
        <v>154</v>
      </c>
      <c r="E399" s="124">
        <f>+MADERA</f>
        <v>6</v>
      </c>
      <c r="F399" s="122">
        <f t="shared" si="24"/>
        <v>0</v>
      </c>
    </row>
    <row r="400" spans="1:8" ht="15.75" x14ac:dyDescent="0.25">
      <c r="A400" s="257" t="s">
        <v>52</v>
      </c>
      <c r="B400" s="258"/>
      <c r="C400" s="122"/>
      <c r="D400" s="123" t="s">
        <v>102</v>
      </c>
      <c r="E400" s="124">
        <f>+SELECTO</f>
        <v>60</v>
      </c>
      <c r="F400" s="122">
        <f t="shared" si="24"/>
        <v>0</v>
      </c>
    </row>
    <row r="401" spans="1:8" ht="15.75" x14ac:dyDescent="0.25">
      <c r="A401" s="125"/>
      <c r="B401" s="259" t="s">
        <v>14</v>
      </c>
      <c r="C401" s="259"/>
      <c r="D401" s="259"/>
      <c r="E401" s="144">
        <f>+D387*0.2*0.15</f>
        <v>1.1700000000000002</v>
      </c>
      <c r="F401" s="126">
        <f>SUM(F392:F400)</f>
        <v>1565.7799999999997</v>
      </c>
    </row>
    <row r="402" spans="1:8" ht="15.75" x14ac:dyDescent="0.25">
      <c r="A402" s="260" t="s">
        <v>15</v>
      </c>
      <c r="B402" s="261"/>
      <c r="C402" s="118"/>
      <c r="D402" s="118"/>
      <c r="E402" s="118"/>
      <c r="F402" s="118"/>
    </row>
    <row r="403" spans="1:8" ht="15.75" x14ac:dyDescent="0.25">
      <c r="A403" s="262" t="s">
        <v>166</v>
      </c>
      <c r="B403" s="263"/>
      <c r="C403" s="127">
        <f>+D387*1.32</f>
        <v>51.480000000000004</v>
      </c>
      <c r="D403" s="128" t="s">
        <v>102</v>
      </c>
      <c r="E403" s="126">
        <v>63.5</v>
      </c>
      <c r="F403" s="126">
        <f t="shared" ref="F403:F408" si="25">+TRUNC(ROUND(E403*C403,2),2)</f>
        <v>3268.98</v>
      </c>
    </row>
    <row r="404" spans="1:8" ht="15.75" x14ac:dyDescent="0.25">
      <c r="A404" s="264" t="s">
        <v>158</v>
      </c>
      <c r="B404" s="265"/>
      <c r="C404" s="124">
        <v>0</v>
      </c>
      <c r="D404" s="123" t="s">
        <v>102</v>
      </c>
      <c r="E404" s="122">
        <v>15</v>
      </c>
      <c r="F404" s="122">
        <f t="shared" si="25"/>
        <v>0</v>
      </c>
    </row>
    <row r="405" spans="1:8" ht="15.75" x14ac:dyDescent="0.25">
      <c r="A405" s="253" t="s">
        <v>190</v>
      </c>
      <c r="B405" s="254"/>
      <c r="C405" s="124">
        <f>+C395*6</f>
        <v>175.5</v>
      </c>
      <c r="D405" s="123" t="s">
        <v>160</v>
      </c>
      <c r="E405" s="122">
        <v>1.2</v>
      </c>
      <c r="F405" s="122">
        <f t="shared" si="25"/>
        <v>210.6</v>
      </c>
    </row>
    <row r="406" spans="1:8" ht="15.75" x14ac:dyDescent="0.25">
      <c r="A406" s="253" t="s">
        <v>191</v>
      </c>
      <c r="B406" s="254"/>
      <c r="C406" s="124">
        <f>+C396*6</f>
        <v>163.80000000000001</v>
      </c>
      <c r="D406" s="123" t="s">
        <v>149</v>
      </c>
      <c r="E406" s="122">
        <v>0.8</v>
      </c>
      <c r="F406" s="122">
        <f t="shared" si="25"/>
        <v>131.04</v>
      </c>
    </row>
    <row r="407" spans="1:8" ht="15.75" x14ac:dyDescent="0.25">
      <c r="A407" s="253" t="s">
        <v>162</v>
      </c>
      <c r="B407" s="254"/>
      <c r="C407" s="124">
        <f>+E401</f>
        <v>1.1700000000000002</v>
      </c>
      <c r="D407" s="123" t="s">
        <v>102</v>
      </c>
      <c r="E407" s="122">
        <v>150</v>
      </c>
      <c r="F407" s="122">
        <f t="shared" si="25"/>
        <v>175.5</v>
      </c>
    </row>
    <row r="408" spans="1:8" ht="15.75" x14ac:dyDescent="0.25">
      <c r="A408" s="253"/>
      <c r="B408" s="254"/>
      <c r="C408" s="124"/>
      <c r="D408" s="123"/>
      <c r="E408" s="122"/>
      <c r="F408" s="122">
        <f t="shared" si="25"/>
        <v>0</v>
      </c>
    </row>
    <row r="409" spans="1:8" ht="15.75" x14ac:dyDescent="0.25">
      <c r="A409" s="129"/>
      <c r="B409" s="130"/>
      <c r="C409" s="266" t="s">
        <v>96</v>
      </c>
      <c r="D409" s="267"/>
      <c r="E409" s="268"/>
      <c r="F409" s="122">
        <f>SUM(F403:F408)</f>
        <v>3786.12</v>
      </c>
    </row>
    <row r="410" spans="1:8" ht="15.75" x14ac:dyDescent="0.25">
      <c r="A410" s="131"/>
      <c r="B410" s="132" t="s">
        <v>17</v>
      </c>
      <c r="C410" s="133">
        <f>+AYUDANTE</f>
        <v>40</v>
      </c>
      <c r="D410" s="123" t="s">
        <v>97</v>
      </c>
      <c r="E410" s="122"/>
      <c r="F410" s="119">
        <f>+TRUNC(ROUND(E410*C410,2),2)/100</f>
        <v>0</v>
      </c>
    </row>
    <row r="411" spans="1:8" ht="15.75" x14ac:dyDescent="0.25">
      <c r="A411" s="134"/>
      <c r="B411" s="135" t="s">
        <v>18</v>
      </c>
      <c r="C411" s="136">
        <f>+PRESTACIONES</f>
        <v>40</v>
      </c>
      <c r="D411" s="137" t="s">
        <v>97</v>
      </c>
      <c r="E411" s="138"/>
      <c r="F411" s="138">
        <f>+TRUNC(ROUND(E411*C411,2),2)/100</f>
        <v>0</v>
      </c>
    </row>
    <row r="412" spans="1:8" ht="15.75" x14ac:dyDescent="0.25">
      <c r="A412" s="125"/>
      <c r="B412" s="259" t="s">
        <v>16</v>
      </c>
      <c r="C412" s="259"/>
      <c r="D412" s="259"/>
      <c r="E412" s="139"/>
      <c r="F412" s="126">
        <f>+F411+F410+F409</f>
        <v>3786.12</v>
      </c>
    </row>
    <row r="413" spans="1:8" ht="15" customHeight="1" x14ac:dyDescent="0.25">
      <c r="A413" s="118"/>
      <c r="B413" s="118"/>
      <c r="C413" s="118"/>
      <c r="D413" s="269" t="s">
        <v>98</v>
      </c>
      <c r="E413" s="270"/>
      <c r="F413" s="140">
        <f>+F412+F401</f>
        <v>5351.9</v>
      </c>
      <c r="G413" s="17">
        <f>+F413</f>
        <v>5351.9</v>
      </c>
      <c r="H413" s="17">
        <f>+F401+F412+F415</f>
        <v>5406.7919999999995</v>
      </c>
    </row>
    <row r="414" spans="1:8" ht="17.25" customHeight="1" x14ac:dyDescent="0.25">
      <c r="A414" s="118"/>
      <c r="B414" s="118"/>
      <c r="C414" s="118"/>
      <c r="D414" s="269" t="s">
        <v>99</v>
      </c>
      <c r="E414" s="270"/>
      <c r="F414" s="141">
        <f>+TRUNC(ROUND(F413/D387,2),2)</f>
        <v>137.22999999999999</v>
      </c>
      <c r="H414" s="18"/>
    </row>
    <row r="415" spans="1:8" ht="16.5" customHeight="1" x14ac:dyDescent="0.25">
      <c r="A415" s="118"/>
      <c r="B415" s="118"/>
      <c r="C415" s="118"/>
      <c r="D415" s="269" t="s">
        <v>100</v>
      </c>
      <c r="E415" s="270"/>
      <c r="F415" s="140">
        <f>+F414*INDIRECTOS</f>
        <v>54.891999999999996</v>
      </c>
      <c r="H415" s="17"/>
    </row>
    <row r="416" spans="1:8" ht="15.75" customHeight="1" x14ac:dyDescent="0.25">
      <c r="A416" s="118"/>
      <c r="B416" s="118"/>
      <c r="C416" s="118"/>
      <c r="D416" s="269" t="s">
        <v>101</v>
      </c>
      <c r="E416" s="270"/>
      <c r="F416" s="142">
        <f>+F415+F414</f>
        <v>192.12199999999999</v>
      </c>
    </row>
    <row r="417" spans="1:8" ht="15.75" customHeight="1" x14ac:dyDescent="0.25">
      <c r="A417" s="22"/>
      <c r="B417" s="22"/>
      <c r="C417" s="22"/>
      <c r="D417" s="63"/>
      <c r="E417" s="63"/>
      <c r="F417" s="64"/>
    </row>
    <row r="418" spans="1:8" ht="67.5" customHeight="1" x14ac:dyDescent="0.25">
      <c r="A418" s="45" t="s">
        <v>2</v>
      </c>
      <c r="B418" s="69">
        <v>5</v>
      </c>
      <c r="C418" s="46" t="s">
        <v>3</v>
      </c>
      <c r="D418" s="47" t="s">
        <v>175</v>
      </c>
      <c r="E418" s="48" t="s">
        <v>5</v>
      </c>
      <c r="F418" s="91" t="str">
        <f>F386</f>
        <v>CASA RUDY MAEDA</v>
      </c>
    </row>
    <row r="419" spans="1:8" ht="75" customHeight="1" x14ac:dyDescent="0.25">
      <c r="A419" s="49" t="s">
        <v>0</v>
      </c>
      <c r="B419" s="83" t="s">
        <v>230</v>
      </c>
      <c r="C419" s="50" t="s">
        <v>4</v>
      </c>
      <c r="D419" s="85">
        <v>36</v>
      </c>
      <c r="E419" s="51" t="s">
        <v>7</v>
      </c>
      <c r="F419" s="21" t="str">
        <f>F387</f>
        <v>ALDEA EL TULE</v>
      </c>
    </row>
    <row r="420" spans="1:8" ht="15.75" x14ac:dyDescent="0.25">
      <c r="A420" s="52" t="s">
        <v>1</v>
      </c>
      <c r="B420" s="70">
        <v>5.2</v>
      </c>
      <c r="C420" s="53"/>
      <c r="D420" s="54"/>
      <c r="E420" s="55" t="s">
        <v>6</v>
      </c>
      <c r="F420" s="56">
        <f>+F388</f>
        <v>42436</v>
      </c>
    </row>
    <row r="421" spans="1:8" ht="15.75" x14ac:dyDescent="0.25">
      <c r="A421" s="57"/>
      <c r="B421" s="57"/>
      <c r="C421" s="57"/>
      <c r="D421" s="57"/>
      <c r="E421" s="57"/>
      <c r="F421" s="57"/>
    </row>
    <row r="422" spans="1:8" ht="28.5" x14ac:dyDescent="0.25">
      <c r="A422" s="243" t="s">
        <v>9</v>
      </c>
      <c r="B422" s="244"/>
      <c r="C422" s="67" t="s">
        <v>10</v>
      </c>
      <c r="D422" s="59" t="s">
        <v>11</v>
      </c>
      <c r="E422" s="60" t="s">
        <v>12</v>
      </c>
      <c r="F422" s="61" t="s">
        <v>13</v>
      </c>
    </row>
    <row r="423" spans="1:8" ht="15.75" x14ac:dyDescent="0.25">
      <c r="A423" s="245" t="s">
        <v>8</v>
      </c>
      <c r="B423" s="246"/>
      <c r="C423" s="22"/>
      <c r="D423" s="22"/>
      <c r="E423" s="22"/>
      <c r="F423" s="22"/>
    </row>
    <row r="424" spans="1:8" ht="15.75" x14ac:dyDescent="0.25">
      <c r="A424" s="247" t="s">
        <v>155</v>
      </c>
      <c r="B424" s="248"/>
      <c r="C424" s="23">
        <f>+E433*9</f>
        <v>10.448999999999998</v>
      </c>
      <c r="D424" s="24" t="s">
        <v>163</v>
      </c>
      <c r="E424" s="25">
        <v>725</v>
      </c>
      <c r="F424" s="23">
        <f t="shared" ref="F424:F432" si="26">+TRUNC(ROUND(E424*C424,2),2)</f>
        <v>7575.53</v>
      </c>
    </row>
    <row r="425" spans="1:8" ht="15.75" x14ac:dyDescent="0.25">
      <c r="A425" s="236" t="s">
        <v>32</v>
      </c>
      <c r="B425" s="237"/>
      <c r="C425" s="26">
        <f>+E433*0.55*1.33</f>
        <v>0.84927149999999996</v>
      </c>
      <c r="D425" s="27" t="s">
        <v>102</v>
      </c>
      <c r="E425" s="28">
        <v>130</v>
      </c>
      <c r="F425" s="26">
        <f t="shared" si="26"/>
        <v>110.41</v>
      </c>
    </row>
    <row r="426" spans="1:8" ht="15.75" x14ac:dyDescent="0.25">
      <c r="A426" s="236" t="s">
        <v>34</v>
      </c>
      <c r="B426" s="237"/>
      <c r="C426" s="26">
        <f>+E433*0.55/1.15</f>
        <v>0.55526086956521736</v>
      </c>
      <c r="D426" s="27" t="s">
        <v>102</v>
      </c>
      <c r="E426" s="28">
        <v>150</v>
      </c>
      <c r="F426" s="26">
        <f t="shared" si="26"/>
        <v>83.29</v>
      </c>
    </row>
    <row r="427" spans="1:8" ht="15.75" x14ac:dyDescent="0.25">
      <c r="A427" s="236" t="s">
        <v>189</v>
      </c>
      <c r="B427" s="237"/>
      <c r="C427" s="26">
        <f>+D419*0.75</f>
        <v>27</v>
      </c>
      <c r="D427" s="27" t="s">
        <v>164</v>
      </c>
      <c r="E427" s="28">
        <v>13</v>
      </c>
      <c r="F427" s="26">
        <f t="shared" si="26"/>
        <v>351</v>
      </c>
      <c r="H427">
        <f>+C427/13</f>
        <v>2.0769230769230771</v>
      </c>
    </row>
    <row r="428" spans="1:8" ht="15.75" x14ac:dyDescent="0.25">
      <c r="A428" s="236" t="s">
        <v>31</v>
      </c>
      <c r="B428" s="237"/>
      <c r="C428" s="26">
        <f>+D419/0.15*0.25/6</f>
        <v>10</v>
      </c>
      <c r="D428" s="27" t="s">
        <v>164</v>
      </c>
      <c r="E428" s="28">
        <v>6</v>
      </c>
      <c r="F428" s="26">
        <f t="shared" si="26"/>
        <v>60</v>
      </c>
      <c r="H428">
        <f>+C428/30</f>
        <v>0.33333333333333331</v>
      </c>
    </row>
    <row r="429" spans="1:8" ht="15.75" x14ac:dyDescent="0.25">
      <c r="A429" s="236" t="s">
        <v>58</v>
      </c>
      <c r="B429" s="237"/>
      <c r="C429" s="26">
        <f>+C431*0.03</f>
        <v>0</v>
      </c>
      <c r="D429" s="27" t="s">
        <v>165</v>
      </c>
      <c r="E429" s="28">
        <f>+CLAVO</f>
        <v>5.5</v>
      </c>
      <c r="F429" s="26">
        <f t="shared" si="26"/>
        <v>0</v>
      </c>
      <c r="H429">
        <f>SUM(H427:H428)</f>
        <v>2.4102564102564106</v>
      </c>
    </row>
    <row r="430" spans="1:8" ht="15.75" x14ac:dyDescent="0.25">
      <c r="A430" s="236" t="s">
        <v>57</v>
      </c>
      <c r="B430" s="237"/>
      <c r="C430" s="26">
        <f>+H429*3.5</f>
        <v>8.4358974358974379</v>
      </c>
      <c r="D430" s="27" t="s">
        <v>165</v>
      </c>
      <c r="E430" s="28">
        <v>4.25</v>
      </c>
      <c r="F430" s="26">
        <f t="shared" si="26"/>
        <v>35.85</v>
      </c>
    </row>
    <row r="431" spans="1:8" ht="15.75" x14ac:dyDescent="0.25">
      <c r="A431" s="236" t="s">
        <v>152</v>
      </c>
      <c r="B431" s="237"/>
      <c r="C431" s="26">
        <f>+C434*24*1/12</f>
        <v>0</v>
      </c>
      <c r="D431" s="27" t="s">
        <v>154</v>
      </c>
      <c r="E431" s="28">
        <f>+MADERA</f>
        <v>6</v>
      </c>
      <c r="F431" s="26">
        <f t="shared" si="26"/>
        <v>0</v>
      </c>
    </row>
    <row r="432" spans="1:8" ht="15.75" x14ac:dyDescent="0.25">
      <c r="A432" s="236" t="s">
        <v>52</v>
      </c>
      <c r="B432" s="237"/>
      <c r="C432" s="26"/>
      <c r="D432" s="27" t="s">
        <v>102</v>
      </c>
      <c r="E432" s="28">
        <f>+SELECTO</f>
        <v>60</v>
      </c>
      <c r="F432" s="26">
        <f t="shared" si="26"/>
        <v>0</v>
      </c>
    </row>
    <row r="433" spans="1:8" ht="15.75" x14ac:dyDescent="0.25">
      <c r="A433" s="39"/>
      <c r="B433" s="241" t="s">
        <v>14</v>
      </c>
      <c r="C433" s="241"/>
      <c r="D433" s="241"/>
      <c r="E433" s="84">
        <f>+D419*0.15*0.215</f>
        <v>1.1609999999999998</v>
      </c>
      <c r="F433" s="41">
        <f>SUM(F424:F432)</f>
        <v>8216.08</v>
      </c>
    </row>
    <row r="434" spans="1:8" ht="15.75" x14ac:dyDescent="0.25">
      <c r="A434" s="249" t="s">
        <v>15</v>
      </c>
      <c r="B434" s="250"/>
      <c r="C434" s="22"/>
      <c r="D434" s="22"/>
      <c r="E434" s="22"/>
      <c r="F434" s="22"/>
    </row>
    <row r="435" spans="1:8" ht="15.75" x14ac:dyDescent="0.25">
      <c r="A435" s="251" t="s">
        <v>166</v>
      </c>
      <c r="B435" s="252"/>
      <c r="C435" s="65">
        <f>+D419*1.32</f>
        <v>47.52</v>
      </c>
      <c r="D435" s="66" t="s">
        <v>102</v>
      </c>
      <c r="E435" s="41">
        <v>63.5</v>
      </c>
      <c r="F435" s="41">
        <f t="shared" ref="F435:F440" si="27">+TRUNC(ROUND(E435*C435,2),2)</f>
        <v>3017.52</v>
      </c>
    </row>
    <row r="436" spans="1:8" ht="15.75" x14ac:dyDescent="0.25">
      <c r="A436" s="236" t="s">
        <v>158</v>
      </c>
      <c r="B436" s="237"/>
      <c r="C436" s="28">
        <v>0</v>
      </c>
      <c r="D436" s="27" t="s">
        <v>102</v>
      </c>
      <c r="E436" s="26">
        <v>15</v>
      </c>
      <c r="F436" s="26">
        <f t="shared" si="27"/>
        <v>0</v>
      </c>
    </row>
    <row r="437" spans="1:8" ht="15.75" x14ac:dyDescent="0.25">
      <c r="A437" s="236" t="s">
        <v>190</v>
      </c>
      <c r="B437" s="237"/>
      <c r="C437" s="28">
        <f>+C427*6</f>
        <v>162</v>
      </c>
      <c r="D437" s="27" t="s">
        <v>160</v>
      </c>
      <c r="E437" s="26">
        <v>1.2</v>
      </c>
      <c r="F437" s="26">
        <f t="shared" si="27"/>
        <v>194.4</v>
      </c>
    </row>
    <row r="438" spans="1:8" ht="15.75" x14ac:dyDescent="0.25">
      <c r="A438" s="236" t="s">
        <v>191</v>
      </c>
      <c r="B438" s="237"/>
      <c r="C438" s="28">
        <f>+C428*6</f>
        <v>60</v>
      </c>
      <c r="D438" s="27" t="s">
        <v>149</v>
      </c>
      <c r="E438" s="26">
        <v>0.8</v>
      </c>
      <c r="F438" s="26">
        <f t="shared" si="27"/>
        <v>48</v>
      </c>
    </row>
    <row r="439" spans="1:8" ht="15.75" x14ac:dyDescent="0.25">
      <c r="A439" s="236" t="s">
        <v>162</v>
      </c>
      <c r="B439" s="237"/>
      <c r="C439" s="28">
        <f>+E433</f>
        <v>1.1609999999999998</v>
      </c>
      <c r="D439" s="27" t="s">
        <v>102</v>
      </c>
      <c r="E439" s="26">
        <v>40</v>
      </c>
      <c r="F439" s="26">
        <f t="shared" si="27"/>
        <v>46.44</v>
      </c>
    </row>
    <row r="440" spans="1:8" ht="15.75" x14ac:dyDescent="0.25">
      <c r="A440" s="236"/>
      <c r="B440" s="237"/>
      <c r="C440" s="28"/>
      <c r="D440" s="27"/>
      <c r="E440" s="26"/>
      <c r="F440" s="26">
        <f t="shared" si="27"/>
        <v>0</v>
      </c>
    </row>
    <row r="441" spans="1:8" ht="15.75" x14ac:dyDescent="0.25">
      <c r="A441" s="29"/>
      <c r="B441" s="30"/>
      <c r="C441" s="238" t="s">
        <v>96</v>
      </c>
      <c r="D441" s="239"/>
      <c r="E441" s="240"/>
      <c r="F441" s="26">
        <f>SUM(F435:F440)</f>
        <v>3306.36</v>
      </c>
    </row>
    <row r="442" spans="1:8" ht="15.75" x14ac:dyDescent="0.25">
      <c r="A442" s="31"/>
      <c r="B442" s="68" t="s">
        <v>17</v>
      </c>
      <c r="C442" s="33">
        <f>+AYUDANTE</f>
        <v>40</v>
      </c>
      <c r="D442" s="27" t="s">
        <v>97</v>
      </c>
      <c r="E442" s="26"/>
      <c r="F442" s="23">
        <f>+TRUNC(ROUND(E442*C442,2),2)/100</f>
        <v>0</v>
      </c>
    </row>
    <row r="443" spans="1:8" ht="15.75" x14ac:dyDescent="0.25">
      <c r="A443" s="34"/>
      <c r="B443" s="35" t="s">
        <v>18</v>
      </c>
      <c r="C443" s="36">
        <f>+PRESTACIONES</f>
        <v>40</v>
      </c>
      <c r="D443" s="37" t="s">
        <v>97</v>
      </c>
      <c r="E443" s="38"/>
      <c r="F443" s="38">
        <f>+TRUNC(ROUND(E443*C443,2),2)/100</f>
        <v>0</v>
      </c>
    </row>
    <row r="444" spans="1:8" ht="15.75" x14ac:dyDescent="0.25">
      <c r="A444" s="39"/>
      <c r="B444" s="241" t="s">
        <v>16</v>
      </c>
      <c r="C444" s="241"/>
      <c r="D444" s="242"/>
      <c r="E444" s="40"/>
      <c r="F444" s="41">
        <f>+F443+F442+F441</f>
        <v>3306.36</v>
      </c>
    </row>
    <row r="445" spans="1:8" ht="15" customHeight="1" x14ac:dyDescent="0.25">
      <c r="A445" s="22"/>
      <c r="B445" s="22"/>
      <c r="C445" s="22"/>
      <c r="D445" s="234" t="s">
        <v>98</v>
      </c>
      <c r="E445" s="235"/>
      <c r="F445" s="42">
        <f>+F444+F433</f>
        <v>11522.44</v>
      </c>
      <c r="G445" s="17">
        <f>+F445</f>
        <v>11522.44</v>
      </c>
      <c r="H445" s="17">
        <f>+F433+F444+F447</f>
        <v>11650.468000000001</v>
      </c>
    </row>
    <row r="446" spans="1:8" ht="17.25" customHeight="1" x14ac:dyDescent="0.25">
      <c r="A446" s="22"/>
      <c r="B446" s="22"/>
      <c r="C446" s="22"/>
      <c r="D446" s="234" t="s">
        <v>99</v>
      </c>
      <c r="E446" s="235"/>
      <c r="F446" s="43">
        <f>+TRUNC(ROUND(F445/D419,2),2)</f>
        <v>320.07</v>
      </c>
      <c r="H446" s="18"/>
    </row>
    <row r="447" spans="1:8" ht="16.5" customHeight="1" x14ac:dyDescent="0.25">
      <c r="A447" s="22"/>
      <c r="B447" s="22"/>
      <c r="C447" s="22"/>
      <c r="D447" s="234" t="s">
        <v>100</v>
      </c>
      <c r="E447" s="235"/>
      <c r="F447" s="42">
        <f>+F446*INDIRECTOS</f>
        <v>128.02799999999999</v>
      </c>
      <c r="H447" s="17"/>
    </row>
    <row r="448" spans="1:8" ht="15.75" customHeight="1" x14ac:dyDescent="0.25">
      <c r="A448" s="22"/>
      <c r="B448" s="22"/>
      <c r="C448" s="22"/>
      <c r="D448" s="234" t="s">
        <v>101</v>
      </c>
      <c r="E448" s="235"/>
      <c r="F448" s="44">
        <f>+F447+F446</f>
        <v>448.09799999999996</v>
      </c>
    </row>
    <row r="449" spans="1:8" ht="15.75" customHeight="1" x14ac:dyDescent="0.25">
      <c r="A449" s="22"/>
      <c r="B449" s="22"/>
      <c r="C449" s="22"/>
      <c r="D449" s="63"/>
      <c r="E449" s="63"/>
      <c r="F449" s="64"/>
    </row>
    <row r="450" spans="1:8" ht="67.5" customHeight="1" x14ac:dyDescent="0.25">
      <c r="A450" s="45" t="s">
        <v>2</v>
      </c>
      <c r="B450" s="69">
        <v>5</v>
      </c>
      <c r="C450" s="46" t="s">
        <v>3</v>
      </c>
      <c r="D450" s="47" t="s">
        <v>175</v>
      </c>
      <c r="E450" s="48" t="s">
        <v>5</v>
      </c>
      <c r="F450" s="91" t="str">
        <f>F418</f>
        <v>CASA RUDY MAEDA</v>
      </c>
    </row>
    <row r="451" spans="1:8" ht="75" customHeight="1" x14ac:dyDescent="0.25">
      <c r="A451" s="49" t="s">
        <v>0</v>
      </c>
      <c r="B451" s="83" t="s">
        <v>231</v>
      </c>
      <c r="C451" s="50" t="s">
        <v>4</v>
      </c>
      <c r="D451" s="85">
        <v>40</v>
      </c>
      <c r="E451" s="51" t="s">
        <v>7</v>
      </c>
      <c r="F451" s="21" t="str">
        <f>F419</f>
        <v>ALDEA EL TULE</v>
      </c>
    </row>
    <row r="452" spans="1:8" ht="15.75" x14ac:dyDescent="0.25">
      <c r="A452" s="52" t="s">
        <v>1</v>
      </c>
      <c r="B452" s="70">
        <v>5.3</v>
      </c>
      <c r="C452" s="53"/>
      <c r="D452" s="54"/>
      <c r="E452" s="55" t="s">
        <v>6</v>
      </c>
      <c r="F452" s="56">
        <f>+F420</f>
        <v>42436</v>
      </c>
    </row>
    <row r="453" spans="1:8" ht="15.75" x14ac:dyDescent="0.25">
      <c r="A453" s="57"/>
      <c r="B453" s="57"/>
      <c r="C453" s="57"/>
      <c r="D453" s="57"/>
      <c r="E453" s="57"/>
      <c r="F453" s="57"/>
    </row>
    <row r="454" spans="1:8" ht="28.5" x14ac:dyDescent="0.25">
      <c r="A454" s="243" t="s">
        <v>9</v>
      </c>
      <c r="B454" s="244"/>
      <c r="C454" s="67" t="s">
        <v>10</v>
      </c>
      <c r="D454" s="59" t="s">
        <v>11</v>
      </c>
      <c r="E454" s="60" t="s">
        <v>12</v>
      </c>
      <c r="F454" s="61" t="s">
        <v>13</v>
      </c>
    </row>
    <row r="455" spans="1:8" ht="15.75" x14ac:dyDescent="0.25">
      <c r="A455" s="245" t="s">
        <v>8</v>
      </c>
      <c r="B455" s="246"/>
      <c r="C455" s="22"/>
      <c r="D455" s="22"/>
      <c r="E455" s="22"/>
      <c r="F455" s="22"/>
    </row>
    <row r="456" spans="1:8" ht="15.75" x14ac:dyDescent="0.25">
      <c r="A456" s="247" t="s">
        <v>155</v>
      </c>
      <c r="B456" s="248"/>
      <c r="C456" s="23">
        <f>+E465*9</f>
        <v>5.3999999999999995</v>
      </c>
      <c r="D456" s="24" t="s">
        <v>163</v>
      </c>
      <c r="E456" s="25">
        <v>72</v>
      </c>
      <c r="F456" s="23">
        <f t="shared" ref="F456:F464" si="28">+TRUNC(ROUND(E456*C456,2),2)</f>
        <v>388.8</v>
      </c>
    </row>
    <row r="457" spans="1:8" ht="15.75" x14ac:dyDescent="0.25">
      <c r="A457" s="236" t="s">
        <v>32</v>
      </c>
      <c r="B457" s="237"/>
      <c r="C457" s="26">
        <f>+E465*0.55*1.55</f>
        <v>0.51150000000000007</v>
      </c>
      <c r="D457" s="27" t="s">
        <v>102</v>
      </c>
      <c r="E457" s="28">
        <v>130</v>
      </c>
      <c r="F457" s="26">
        <f t="shared" si="28"/>
        <v>66.5</v>
      </c>
    </row>
    <row r="458" spans="1:8" ht="15.75" x14ac:dyDescent="0.25">
      <c r="A458" s="236" t="s">
        <v>34</v>
      </c>
      <c r="B458" s="237"/>
      <c r="C458" s="26">
        <f>+E465*0.55*1.15</f>
        <v>0.3795</v>
      </c>
      <c r="D458" s="27" t="s">
        <v>102</v>
      </c>
      <c r="E458" s="28">
        <v>150</v>
      </c>
      <c r="F458" s="26">
        <f t="shared" si="28"/>
        <v>56.93</v>
      </c>
    </row>
    <row r="459" spans="1:8" ht="15.75" x14ac:dyDescent="0.25">
      <c r="A459" s="236" t="s">
        <v>189</v>
      </c>
      <c r="B459" s="237"/>
      <c r="C459" s="26">
        <f>+D451*0.75</f>
        <v>30</v>
      </c>
      <c r="D459" s="27" t="s">
        <v>164</v>
      </c>
      <c r="E459" s="28">
        <v>13</v>
      </c>
      <c r="F459" s="26">
        <f t="shared" si="28"/>
        <v>390</v>
      </c>
      <c r="H459">
        <f>+C459/13</f>
        <v>2.3076923076923075</v>
      </c>
    </row>
    <row r="460" spans="1:8" ht="15.75" x14ac:dyDescent="0.25">
      <c r="A460" s="236" t="s">
        <v>31</v>
      </c>
      <c r="B460" s="237"/>
      <c r="C460" s="26">
        <f>+D451/0.15*0.16/6</f>
        <v>7.1111111111111116</v>
      </c>
      <c r="D460" s="27" t="s">
        <v>164</v>
      </c>
      <c r="E460" s="28">
        <v>6</v>
      </c>
      <c r="F460" s="26">
        <f t="shared" si="28"/>
        <v>42.67</v>
      </c>
      <c r="H460">
        <f>+C460/30</f>
        <v>0.23703703703703705</v>
      </c>
    </row>
    <row r="461" spans="1:8" ht="15.75" x14ac:dyDescent="0.25">
      <c r="A461" s="236" t="s">
        <v>58</v>
      </c>
      <c r="B461" s="237"/>
      <c r="C461" s="26">
        <f>+C463*0.03</f>
        <v>0</v>
      </c>
      <c r="D461" s="27" t="s">
        <v>165</v>
      </c>
      <c r="E461" s="28">
        <f>+CLAVO</f>
        <v>5.5</v>
      </c>
      <c r="F461" s="26">
        <f t="shared" si="28"/>
        <v>0</v>
      </c>
      <c r="H461">
        <f>SUM(H459:H460)</f>
        <v>2.5447293447293444</v>
      </c>
    </row>
    <row r="462" spans="1:8" ht="15.75" x14ac:dyDescent="0.25">
      <c r="A462" s="236" t="s">
        <v>57</v>
      </c>
      <c r="B462" s="237"/>
      <c r="C462" s="26">
        <f>+H461*3.5</f>
        <v>8.9065527065527057</v>
      </c>
      <c r="D462" s="27" t="s">
        <v>165</v>
      </c>
      <c r="E462" s="28">
        <v>4.25</v>
      </c>
      <c r="F462" s="26">
        <f t="shared" si="28"/>
        <v>37.85</v>
      </c>
    </row>
    <row r="463" spans="1:8" ht="15.75" x14ac:dyDescent="0.25">
      <c r="A463" s="236" t="s">
        <v>152</v>
      </c>
      <c r="B463" s="237"/>
      <c r="C463" s="26">
        <f>+C466*24*1/12</f>
        <v>0</v>
      </c>
      <c r="D463" s="27" t="s">
        <v>154</v>
      </c>
      <c r="E463" s="28">
        <f>+MADERA</f>
        <v>6</v>
      </c>
      <c r="F463" s="26">
        <f t="shared" si="28"/>
        <v>0</v>
      </c>
    </row>
    <row r="464" spans="1:8" ht="15.75" x14ac:dyDescent="0.25">
      <c r="A464" s="236" t="s">
        <v>52</v>
      </c>
      <c r="B464" s="237"/>
      <c r="C464" s="26"/>
      <c r="D464" s="27" t="s">
        <v>102</v>
      </c>
      <c r="E464" s="28">
        <f>+SELECTO</f>
        <v>60</v>
      </c>
      <c r="F464" s="26">
        <f t="shared" si="28"/>
        <v>0</v>
      </c>
    </row>
    <row r="465" spans="1:8" ht="15.75" x14ac:dyDescent="0.25">
      <c r="A465" s="39"/>
      <c r="B465" s="241" t="s">
        <v>14</v>
      </c>
      <c r="C465" s="241"/>
      <c r="D465" s="241"/>
      <c r="E465" s="84">
        <f>+D451*0.1*0.15</f>
        <v>0.6</v>
      </c>
      <c r="F465" s="41">
        <f>SUM(F456:F464)</f>
        <v>982.75</v>
      </c>
    </row>
    <row r="466" spans="1:8" ht="15.75" x14ac:dyDescent="0.25">
      <c r="A466" s="249" t="s">
        <v>15</v>
      </c>
      <c r="B466" s="250"/>
      <c r="C466" s="22"/>
      <c r="D466" s="22"/>
      <c r="E466" s="22"/>
      <c r="F466" s="22"/>
    </row>
    <row r="467" spans="1:8" ht="15.75" x14ac:dyDescent="0.25">
      <c r="A467" s="251" t="s">
        <v>166</v>
      </c>
      <c r="B467" s="252"/>
      <c r="C467" s="65">
        <f>+D451*1.32</f>
        <v>52.800000000000004</v>
      </c>
      <c r="D467" s="66" t="s">
        <v>102</v>
      </c>
      <c r="E467" s="41">
        <v>63.5</v>
      </c>
      <c r="F467" s="41">
        <f t="shared" ref="F467:F472" si="29">+TRUNC(ROUND(E467*C467,2),2)</f>
        <v>3352.8</v>
      </c>
    </row>
    <row r="468" spans="1:8" ht="15.75" x14ac:dyDescent="0.25">
      <c r="A468" s="236" t="s">
        <v>158</v>
      </c>
      <c r="B468" s="237"/>
      <c r="C468" s="28">
        <v>0</v>
      </c>
      <c r="D468" s="27" t="s">
        <v>102</v>
      </c>
      <c r="E468" s="26">
        <v>15</v>
      </c>
      <c r="F468" s="26">
        <f t="shared" si="29"/>
        <v>0</v>
      </c>
    </row>
    <row r="469" spans="1:8" ht="15.75" x14ac:dyDescent="0.25">
      <c r="A469" s="236" t="s">
        <v>190</v>
      </c>
      <c r="B469" s="237"/>
      <c r="C469" s="28">
        <f>+C459*6</f>
        <v>180</v>
      </c>
      <c r="D469" s="27" t="s">
        <v>160</v>
      </c>
      <c r="E469" s="26">
        <v>1.2</v>
      </c>
      <c r="F469" s="26">
        <f t="shared" si="29"/>
        <v>216</v>
      </c>
    </row>
    <row r="470" spans="1:8" ht="15.75" x14ac:dyDescent="0.25">
      <c r="A470" s="236" t="s">
        <v>191</v>
      </c>
      <c r="B470" s="237"/>
      <c r="C470" s="28">
        <f>+C460*6</f>
        <v>42.666666666666671</v>
      </c>
      <c r="D470" s="27" t="s">
        <v>149</v>
      </c>
      <c r="E470" s="26">
        <v>0.8</v>
      </c>
      <c r="F470" s="26">
        <f t="shared" si="29"/>
        <v>34.130000000000003</v>
      </c>
    </row>
    <row r="471" spans="1:8" ht="15.75" x14ac:dyDescent="0.25">
      <c r="A471" s="236" t="s">
        <v>162</v>
      </c>
      <c r="B471" s="237"/>
      <c r="C471" s="28">
        <f>+E465</f>
        <v>0.6</v>
      </c>
      <c r="D471" s="27" t="s">
        <v>102</v>
      </c>
      <c r="E471" s="26">
        <v>40</v>
      </c>
      <c r="F471" s="26">
        <f t="shared" si="29"/>
        <v>24</v>
      </c>
    </row>
    <row r="472" spans="1:8" ht="15.75" x14ac:dyDescent="0.25">
      <c r="A472" s="236"/>
      <c r="B472" s="237"/>
      <c r="C472" s="28"/>
      <c r="D472" s="27"/>
      <c r="E472" s="26"/>
      <c r="F472" s="26">
        <f t="shared" si="29"/>
        <v>0</v>
      </c>
    </row>
    <row r="473" spans="1:8" ht="15.75" x14ac:dyDescent="0.25">
      <c r="A473" s="29"/>
      <c r="B473" s="30"/>
      <c r="C473" s="238" t="s">
        <v>96</v>
      </c>
      <c r="D473" s="239"/>
      <c r="E473" s="240"/>
      <c r="F473" s="26">
        <f>SUM(F467:F472)</f>
        <v>3626.9300000000003</v>
      </c>
    </row>
    <row r="474" spans="1:8" ht="15.75" x14ac:dyDescent="0.25">
      <c r="A474" s="31"/>
      <c r="B474" s="68" t="s">
        <v>17</v>
      </c>
      <c r="C474" s="33">
        <f>+AYUDANTE</f>
        <v>40</v>
      </c>
      <c r="D474" s="27" t="s">
        <v>97</v>
      </c>
      <c r="E474" s="26"/>
      <c r="F474" s="23">
        <f>+TRUNC(ROUND(E474*C474,2),2)/100</f>
        <v>0</v>
      </c>
    </row>
    <row r="475" spans="1:8" ht="15.75" x14ac:dyDescent="0.25">
      <c r="A475" s="34"/>
      <c r="B475" s="35" t="s">
        <v>18</v>
      </c>
      <c r="C475" s="36">
        <f>+PRESTACIONES</f>
        <v>40</v>
      </c>
      <c r="D475" s="37" t="s">
        <v>97</v>
      </c>
      <c r="E475" s="38"/>
      <c r="F475" s="38">
        <f>+TRUNC(ROUND(E475*C475,2),2)/100</f>
        <v>0</v>
      </c>
    </row>
    <row r="476" spans="1:8" ht="15.75" x14ac:dyDescent="0.25">
      <c r="A476" s="39"/>
      <c r="B476" s="241" t="s">
        <v>16</v>
      </c>
      <c r="C476" s="241"/>
      <c r="D476" s="242"/>
      <c r="E476" s="40"/>
      <c r="F476" s="41">
        <f>+F475+F474+F473</f>
        <v>3626.9300000000003</v>
      </c>
    </row>
    <row r="477" spans="1:8" ht="15" customHeight="1" x14ac:dyDescent="0.25">
      <c r="A477" s="22"/>
      <c r="B477" s="22"/>
      <c r="C477" s="22"/>
      <c r="D477" s="234" t="s">
        <v>98</v>
      </c>
      <c r="E477" s="235"/>
      <c r="F477" s="42">
        <f>+F476+F465</f>
        <v>4609.68</v>
      </c>
      <c r="G477" s="17">
        <f>+F477</f>
        <v>4609.68</v>
      </c>
      <c r="H477" s="17">
        <f>+F465+F476+F479</f>
        <v>4655.7759999999998</v>
      </c>
    </row>
    <row r="478" spans="1:8" ht="17.25" customHeight="1" x14ac:dyDescent="0.25">
      <c r="A478" s="22"/>
      <c r="B478" s="22"/>
      <c r="C478" s="22"/>
      <c r="D478" s="234" t="s">
        <v>99</v>
      </c>
      <c r="E478" s="235"/>
      <c r="F478" s="43">
        <f>+TRUNC(ROUND(F477/D451,2),2)</f>
        <v>115.24</v>
      </c>
      <c r="H478" s="18"/>
    </row>
    <row r="479" spans="1:8" ht="16.5" customHeight="1" x14ac:dyDescent="0.25">
      <c r="A479" s="22"/>
      <c r="B479" s="22"/>
      <c r="C479" s="22"/>
      <c r="D479" s="234" t="s">
        <v>100</v>
      </c>
      <c r="E479" s="235"/>
      <c r="F479" s="42">
        <f>+F478*INDIRECTOS</f>
        <v>46.096000000000004</v>
      </c>
      <c r="H479" s="17"/>
    </row>
    <row r="480" spans="1:8" ht="15.75" customHeight="1" x14ac:dyDescent="0.25">
      <c r="A480" s="22"/>
      <c r="B480" s="22"/>
      <c r="C480" s="22"/>
      <c r="D480" s="234" t="s">
        <v>101</v>
      </c>
      <c r="E480" s="235"/>
      <c r="F480" s="44">
        <f>+F479+F478</f>
        <v>161.33600000000001</v>
      </c>
    </row>
    <row r="481" spans="1:6" ht="15.75" customHeight="1" x14ac:dyDescent="0.25">
      <c r="A481" s="22"/>
      <c r="B481" s="22"/>
      <c r="C481" s="22"/>
      <c r="D481" s="63"/>
      <c r="E481" s="63"/>
      <c r="F481" s="64"/>
    </row>
    <row r="482" spans="1:6" ht="15.75" customHeight="1" x14ac:dyDescent="0.25">
      <c r="A482" s="22"/>
      <c r="B482" s="22"/>
      <c r="C482" s="22"/>
      <c r="D482" s="63"/>
      <c r="E482" s="63"/>
      <c r="F482" s="64"/>
    </row>
    <row r="483" spans="1:6" ht="67.5" customHeight="1" x14ac:dyDescent="0.25">
      <c r="A483" s="45" t="s">
        <v>2</v>
      </c>
      <c r="B483" s="69">
        <v>6</v>
      </c>
      <c r="C483" s="46" t="s">
        <v>3</v>
      </c>
      <c r="D483" s="47" t="s">
        <v>107</v>
      </c>
      <c r="E483" s="48" t="s">
        <v>5</v>
      </c>
      <c r="F483" s="91" t="str">
        <f>F450</f>
        <v>CASA RUDY MAEDA</v>
      </c>
    </row>
    <row r="484" spans="1:6" ht="75" customHeight="1" x14ac:dyDescent="0.25">
      <c r="A484" s="49" t="s">
        <v>0</v>
      </c>
      <c r="B484" s="83" t="s">
        <v>266</v>
      </c>
      <c r="C484" s="50" t="s">
        <v>4</v>
      </c>
      <c r="D484" s="85">
        <v>91.25</v>
      </c>
      <c r="E484" s="51" t="s">
        <v>7</v>
      </c>
      <c r="F484" s="21" t="str">
        <f>F451</f>
        <v>ALDEA EL TULE</v>
      </c>
    </row>
    <row r="485" spans="1:6" ht="15.75" x14ac:dyDescent="0.25">
      <c r="A485" s="52" t="s">
        <v>1</v>
      </c>
      <c r="B485" s="70">
        <v>6.1</v>
      </c>
      <c r="C485" s="53"/>
      <c r="D485" s="54"/>
      <c r="E485" s="55" t="s">
        <v>6</v>
      </c>
      <c r="F485" s="56">
        <f>F452</f>
        <v>42436</v>
      </c>
    </row>
    <row r="486" spans="1:6" ht="15.75" x14ac:dyDescent="0.25">
      <c r="A486" s="57"/>
      <c r="B486" s="57"/>
      <c r="C486" s="57"/>
      <c r="D486" s="57"/>
      <c r="E486" s="57"/>
      <c r="F486" s="57"/>
    </row>
    <row r="487" spans="1:6" ht="28.5" x14ac:dyDescent="0.25">
      <c r="A487" s="243" t="s">
        <v>9</v>
      </c>
      <c r="B487" s="244"/>
      <c r="C487" s="67" t="s">
        <v>10</v>
      </c>
      <c r="D487" s="59" t="s">
        <v>11</v>
      </c>
      <c r="E487" s="60" t="s">
        <v>12</v>
      </c>
      <c r="F487" s="61" t="s">
        <v>13</v>
      </c>
    </row>
    <row r="488" spans="1:6" ht="15.75" x14ac:dyDescent="0.25">
      <c r="A488" s="245" t="s">
        <v>8</v>
      </c>
      <c r="B488" s="246"/>
      <c r="C488" s="22"/>
      <c r="D488" s="22"/>
      <c r="E488" s="22"/>
      <c r="F488" s="22"/>
    </row>
    <row r="489" spans="1:6" ht="15.75" x14ac:dyDescent="0.25">
      <c r="A489" s="247" t="s">
        <v>234</v>
      </c>
      <c r="B489" s="248"/>
      <c r="C489" s="23">
        <v>40</v>
      </c>
      <c r="D489" s="24" t="s">
        <v>169</v>
      </c>
      <c r="E489" s="25">
        <v>70</v>
      </c>
      <c r="F489" s="23">
        <f t="shared" ref="F489:F496" si="30">+TRUNC(ROUND(E489*C489,2),2)</f>
        <v>2800</v>
      </c>
    </row>
    <row r="490" spans="1:6" ht="15.75" x14ac:dyDescent="0.25">
      <c r="A490" s="236" t="s">
        <v>232</v>
      </c>
      <c r="B490" s="237"/>
      <c r="C490" s="26">
        <v>15</v>
      </c>
      <c r="D490" s="27" t="s">
        <v>165</v>
      </c>
      <c r="E490" s="28"/>
      <c r="F490" s="26">
        <f t="shared" si="30"/>
        <v>0</v>
      </c>
    </row>
    <row r="491" spans="1:6" ht="15.75" x14ac:dyDescent="0.25">
      <c r="A491" s="236" t="s">
        <v>233</v>
      </c>
      <c r="B491" s="237"/>
      <c r="C491" s="26">
        <v>28</v>
      </c>
      <c r="D491" s="27" t="s">
        <v>169</v>
      </c>
      <c r="E491" s="28">
        <v>84</v>
      </c>
      <c r="F491" s="26">
        <f t="shared" si="30"/>
        <v>2352</v>
      </c>
    </row>
    <row r="492" spans="1:6" ht="15.75" x14ac:dyDescent="0.25">
      <c r="A492" s="236"/>
      <c r="B492" s="237"/>
      <c r="C492" s="26"/>
      <c r="D492" s="27"/>
      <c r="E492" s="28"/>
      <c r="F492" s="26">
        <f t="shared" si="30"/>
        <v>0</v>
      </c>
    </row>
    <row r="493" spans="1:6" ht="15.75" x14ac:dyDescent="0.25">
      <c r="A493" s="236"/>
      <c r="B493" s="237"/>
      <c r="C493" s="26"/>
      <c r="D493" s="27"/>
      <c r="E493" s="28"/>
      <c r="F493" s="26">
        <f t="shared" si="30"/>
        <v>0</v>
      </c>
    </row>
    <row r="494" spans="1:6" ht="15.75" x14ac:dyDescent="0.25">
      <c r="A494" s="236"/>
      <c r="B494" s="237"/>
      <c r="C494" s="26"/>
      <c r="D494" s="27"/>
      <c r="E494" s="28"/>
      <c r="F494" s="26">
        <f t="shared" si="30"/>
        <v>0</v>
      </c>
    </row>
    <row r="495" spans="1:6" ht="15.75" x14ac:dyDescent="0.25">
      <c r="A495" s="236"/>
      <c r="B495" s="237"/>
      <c r="C495" s="26"/>
      <c r="D495" s="27"/>
      <c r="E495" s="28"/>
      <c r="F495" s="26">
        <f t="shared" si="30"/>
        <v>0</v>
      </c>
    </row>
    <row r="496" spans="1:6" ht="15.75" x14ac:dyDescent="0.25">
      <c r="A496" s="236"/>
      <c r="B496" s="237"/>
      <c r="C496" s="26"/>
      <c r="D496" s="27"/>
      <c r="E496" s="28"/>
      <c r="F496" s="26">
        <f t="shared" si="30"/>
        <v>0</v>
      </c>
    </row>
    <row r="497" spans="1:8" ht="15.75" x14ac:dyDescent="0.25">
      <c r="A497" s="39"/>
      <c r="B497" s="241" t="s">
        <v>14</v>
      </c>
      <c r="C497" s="241"/>
      <c r="D497" s="241"/>
      <c r="E497" s="84">
        <f>+D484*0.15</f>
        <v>13.6875</v>
      </c>
      <c r="F497" s="41">
        <f>SUM(F489:F496)</f>
        <v>5152</v>
      </c>
    </row>
    <row r="498" spans="1:8" ht="15.75" x14ac:dyDescent="0.25">
      <c r="A498" s="249" t="s">
        <v>15</v>
      </c>
      <c r="B498" s="250"/>
      <c r="C498" s="22"/>
      <c r="D498" s="22"/>
      <c r="E498" s="22"/>
      <c r="F498" s="22"/>
    </row>
    <row r="499" spans="1:8" ht="15.75" x14ac:dyDescent="0.25">
      <c r="A499" s="251" t="s">
        <v>235</v>
      </c>
      <c r="B499" s="252"/>
      <c r="C499" s="65">
        <v>1</v>
      </c>
      <c r="D499" s="66" t="s">
        <v>177</v>
      </c>
      <c r="E499" s="41">
        <v>3000</v>
      </c>
      <c r="F499" s="41">
        <f t="shared" ref="F499:F504" si="31">+TRUNC(ROUND(E499*C499,2),2)</f>
        <v>3000</v>
      </c>
    </row>
    <row r="500" spans="1:8" ht="15.75" x14ac:dyDescent="0.25">
      <c r="A500" s="236"/>
      <c r="B500" s="237"/>
      <c r="C500" s="28"/>
      <c r="D500" s="27"/>
      <c r="E500" s="26"/>
      <c r="F500" s="26">
        <f t="shared" si="31"/>
        <v>0</v>
      </c>
    </row>
    <row r="501" spans="1:8" ht="15.75" x14ac:dyDescent="0.25">
      <c r="A501" s="236"/>
      <c r="B501" s="237"/>
      <c r="C501" s="28"/>
      <c r="D501" s="27"/>
      <c r="E501" s="26"/>
      <c r="F501" s="26">
        <f t="shared" si="31"/>
        <v>0</v>
      </c>
    </row>
    <row r="502" spans="1:8" ht="15.75" x14ac:dyDescent="0.25">
      <c r="A502" s="236"/>
      <c r="B502" s="237"/>
      <c r="C502" s="28"/>
      <c r="D502" s="27"/>
      <c r="E502" s="26"/>
      <c r="F502" s="26">
        <f t="shared" si="31"/>
        <v>0</v>
      </c>
    </row>
    <row r="503" spans="1:8" ht="15.75" x14ac:dyDescent="0.25">
      <c r="A503" s="236"/>
      <c r="B503" s="237"/>
      <c r="C503" s="28"/>
      <c r="D503" s="27"/>
      <c r="E503" s="26"/>
      <c r="F503" s="26">
        <f t="shared" si="31"/>
        <v>0</v>
      </c>
    </row>
    <row r="504" spans="1:8" ht="15.75" x14ac:dyDescent="0.25">
      <c r="A504" s="236"/>
      <c r="B504" s="237"/>
      <c r="C504" s="28"/>
      <c r="D504" s="27"/>
      <c r="E504" s="26"/>
      <c r="F504" s="26">
        <f t="shared" si="31"/>
        <v>0</v>
      </c>
    </row>
    <row r="505" spans="1:8" ht="15.75" x14ac:dyDescent="0.25">
      <c r="A505" s="29"/>
      <c r="B505" s="30"/>
      <c r="C505" s="238" t="s">
        <v>96</v>
      </c>
      <c r="D505" s="239"/>
      <c r="E505" s="240"/>
      <c r="F505" s="26">
        <f>SUM(F499:F504)</f>
        <v>3000</v>
      </c>
    </row>
    <row r="506" spans="1:8" ht="15.75" x14ac:dyDescent="0.25">
      <c r="A506" s="31"/>
      <c r="B506" s="68" t="s">
        <v>17</v>
      </c>
      <c r="C506" s="33">
        <f>+AYUDANTE</f>
        <v>40</v>
      </c>
      <c r="D506" s="27" t="s">
        <v>97</v>
      </c>
      <c r="E506" s="26"/>
      <c r="F506" s="23">
        <f>+TRUNC(ROUND(E506*C506,2),2)/100</f>
        <v>0</v>
      </c>
    </row>
    <row r="507" spans="1:8" ht="15.75" x14ac:dyDescent="0.25">
      <c r="A507" s="34"/>
      <c r="B507" s="35" t="s">
        <v>18</v>
      </c>
      <c r="C507" s="36">
        <f>+PRESTACIONES</f>
        <v>40</v>
      </c>
      <c r="D507" s="37" t="s">
        <v>97</v>
      </c>
      <c r="E507" s="38"/>
      <c r="F507" s="38">
        <f>+TRUNC(ROUND(E507*C507,2),2)/100</f>
        <v>0</v>
      </c>
    </row>
    <row r="508" spans="1:8" ht="15.75" x14ac:dyDescent="0.25">
      <c r="A508" s="39"/>
      <c r="B508" s="241" t="s">
        <v>16</v>
      </c>
      <c r="C508" s="241"/>
      <c r="D508" s="242"/>
      <c r="E508" s="40"/>
      <c r="F508" s="41">
        <f>+F507+F506+F505</f>
        <v>3000</v>
      </c>
    </row>
    <row r="509" spans="1:8" ht="15" customHeight="1" x14ac:dyDescent="0.25">
      <c r="A509" s="22"/>
      <c r="B509" s="22"/>
      <c r="C509" s="22"/>
      <c r="D509" s="234" t="s">
        <v>98</v>
      </c>
      <c r="E509" s="235"/>
      <c r="F509" s="42">
        <f>+F508+F497</f>
        <v>8152</v>
      </c>
      <c r="G509" s="17">
        <f>+F509</f>
        <v>8152</v>
      </c>
      <c r="H509" s="17">
        <f>+F497+F508+F511</f>
        <v>8187.7359999999999</v>
      </c>
    </row>
    <row r="510" spans="1:8" ht="17.25" customHeight="1" x14ac:dyDescent="0.25">
      <c r="A510" s="22"/>
      <c r="B510" s="22"/>
      <c r="C510" s="22"/>
      <c r="D510" s="234" t="s">
        <v>99</v>
      </c>
      <c r="E510" s="235"/>
      <c r="F510" s="43">
        <f>+TRUNC(ROUND(F509/D484,2),2)</f>
        <v>89.34</v>
      </c>
      <c r="H510" s="18"/>
    </row>
    <row r="511" spans="1:8" ht="16.5" customHeight="1" x14ac:dyDescent="0.25">
      <c r="A511" s="22"/>
      <c r="B511" s="22"/>
      <c r="C511" s="22"/>
      <c r="D511" s="234" t="s">
        <v>100</v>
      </c>
      <c r="E511" s="235"/>
      <c r="F511" s="42">
        <f>+F510*INDIRECTOS</f>
        <v>35.736000000000004</v>
      </c>
      <c r="H511" s="17"/>
    </row>
    <row r="512" spans="1:8" ht="15.75" customHeight="1" x14ac:dyDescent="0.25">
      <c r="A512" s="22"/>
      <c r="B512" s="22"/>
      <c r="C512" s="22"/>
      <c r="D512" s="234" t="s">
        <v>101</v>
      </c>
      <c r="E512" s="235"/>
      <c r="F512" s="44">
        <f>+F511+F510</f>
        <v>125.07600000000001</v>
      </c>
    </row>
    <row r="513" spans="1:8" ht="15.75" customHeight="1" x14ac:dyDescent="0.25">
      <c r="A513" s="22"/>
      <c r="B513" s="22"/>
      <c r="C513" s="22"/>
      <c r="D513" s="63"/>
      <c r="E513" s="63"/>
      <c r="F513" s="64"/>
    </row>
    <row r="514" spans="1:8" ht="15.75" customHeight="1" x14ac:dyDescent="0.25">
      <c r="A514" s="22"/>
      <c r="B514" s="22"/>
      <c r="C514" s="22"/>
      <c r="D514" s="63"/>
      <c r="E514" s="63"/>
      <c r="F514" s="64"/>
    </row>
    <row r="515" spans="1:8" ht="67.5" customHeight="1" x14ac:dyDescent="0.25">
      <c r="A515" s="45" t="s">
        <v>2</v>
      </c>
      <c r="B515" s="69">
        <v>7</v>
      </c>
      <c r="C515" s="46" t="s">
        <v>3</v>
      </c>
      <c r="D515" s="47" t="s">
        <v>175</v>
      </c>
      <c r="E515" s="48" t="s">
        <v>5</v>
      </c>
      <c r="F515" s="91" t="str">
        <f>F483</f>
        <v>CASA RUDY MAEDA</v>
      </c>
    </row>
    <row r="516" spans="1:8" ht="75" customHeight="1" x14ac:dyDescent="0.25">
      <c r="A516" s="49" t="s">
        <v>0</v>
      </c>
      <c r="B516" s="83" t="s">
        <v>113</v>
      </c>
      <c r="C516" s="50" t="s">
        <v>4</v>
      </c>
      <c r="D516" s="85">
        <v>2.7</v>
      </c>
      <c r="E516" s="51" t="s">
        <v>7</v>
      </c>
      <c r="F516" s="21" t="str">
        <f>F484</f>
        <v>ALDEA EL TULE</v>
      </c>
    </row>
    <row r="517" spans="1:8" ht="15.75" x14ac:dyDescent="0.25">
      <c r="A517" s="52" t="s">
        <v>1</v>
      </c>
      <c r="B517" s="70">
        <v>7.1</v>
      </c>
      <c r="C517" s="53"/>
      <c r="D517" s="54"/>
      <c r="E517" s="55" t="s">
        <v>6</v>
      </c>
      <c r="F517" s="56">
        <f>F485</f>
        <v>42436</v>
      </c>
    </row>
    <row r="518" spans="1:8" ht="15.75" x14ac:dyDescent="0.25">
      <c r="A518" s="57"/>
      <c r="B518" s="57"/>
      <c r="C518" s="57"/>
      <c r="D518" s="57"/>
      <c r="E518" s="57"/>
      <c r="F518" s="57"/>
    </row>
    <row r="519" spans="1:8" ht="28.5" x14ac:dyDescent="0.25">
      <c r="A519" s="243" t="s">
        <v>9</v>
      </c>
      <c r="B519" s="244"/>
      <c r="C519" s="67" t="s">
        <v>10</v>
      </c>
      <c r="D519" s="59" t="s">
        <v>11</v>
      </c>
      <c r="E519" s="60" t="s">
        <v>12</v>
      </c>
      <c r="F519" s="61" t="s">
        <v>13</v>
      </c>
    </row>
    <row r="520" spans="1:8" ht="15.75" x14ac:dyDescent="0.25">
      <c r="A520" s="245" t="s">
        <v>8</v>
      </c>
      <c r="B520" s="246"/>
      <c r="C520" s="22"/>
      <c r="D520" s="22"/>
      <c r="E520" s="22"/>
      <c r="F520" s="22"/>
    </row>
    <row r="521" spans="1:8" ht="15.75" x14ac:dyDescent="0.25">
      <c r="A521" s="247" t="s">
        <v>155</v>
      </c>
      <c r="B521" s="248"/>
      <c r="C521" s="23">
        <f>+E530*9</f>
        <v>1.51875</v>
      </c>
      <c r="D521" s="24" t="s">
        <v>163</v>
      </c>
      <c r="E521" s="25">
        <v>72</v>
      </c>
      <c r="F521" s="23">
        <f t="shared" ref="F521:F529" si="32">+TRUNC(ROUND(E521*C521,2),2)</f>
        <v>109.35</v>
      </c>
    </row>
    <row r="522" spans="1:8" ht="15.75" x14ac:dyDescent="0.25">
      <c r="A522" s="236" t="s">
        <v>32</v>
      </c>
      <c r="B522" s="237"/>
      <c r="C522" s="26">
        <f>+E530*0.55*1.33</f>
        <v>0.12344062500000004</v>
      </c>
      <c r="D522" s="27" t="s">
        <v>102</v>
      </c>
      <c r="E522" s="28">
        <v>130</v>
      </c>
      <c r="F522" s="26">
        <f t="shared" si="32"/>
        <v>16.05</v>
      </c>
    </row>
    <row r="523" spans="1:8" ht="15.75" x14ac:dyDescent="0.25">
      <c r="A523" s="236" t="s">
        <v>34</v>
      </c>
      <c r="B523" s="237"/>
      <c r="C523" s="26">
        <f>+E530*0.55*1.15</f>
        <v>0.10673437500000002</v>
      </c>
      <c r="D523" s="27" t="s">
        <v>102</v>
      </c>
      <c r="E523" s="28">
        <v>150</v>
      </c>
      <c r="F523" s="26">
        <f t="shared" si="32"/>
        <v>16.010000000000002</v>
      </c>
    </row>
    <row r="524" spans="1:8" ht="15.75" x14ac:dyDescent="0.25">
      <c r="A524" s="236" t="s">
        <v>156</v>
      </c>
      <c r="B524" s="237"/>
      <c r="C524" s="26">
        <f>+D516*4/6</f>
        <v>1.8</v>
      </c>
      <c r="D524" s="27" t="s">
        <v>164</v>
      </c>
      <c r="E524" s="28">
        <v>13</v>
      </c>
      <c r="F524" s="26">
        <f t="shared" si="32"/>
        <v>23.4</v>
      </c>
      <c r="H524">
        <f>+C524/13</f>
        <v>0.13846153846153847</v>
      </c>
    </row>
    <row r="525" spans="1:8" ht="15.75" x14ac:dyDescent="0.25">
      <c r="A525" s="236" t="s">
        <v>29</v>
      </c>
      <c r="B525" s="237"/>
      <c r="C525" s="26">
        <f>+D516/0.2*0.68/6</f>
        <v>1.5300000000000002</v>
      </c>
      <c r="D525" s="27" t="s">
        <v>164</v>
      </c>
      <c r="E525" s="28">
        <v>6</v>
      </c>
      <c r="F525" s="26">
        <f t="shared" si="32"/>
        <v>9.18</v>
      </c>
      <c r="H525">
        <f>+C525/30</f>
        <v>5.1000000000000011E-2</v>
      </c>
    </row>
    <row r="526" spans="1:8" ht="15.75" x14ac:dyDescent="0.25">
      <c r="A526" s="236" t="s">
        <v>58</v>
      </c>
      <c r="B526" s="237"/>
      <c r="C526" s="26">
        <f>+C528*0.03</f>
        <v>0</v>
      </c>
      <c r="D526" s="27" t="s">
        <v>165</v>
      </c>
      <c r="E526" s="28">
        <f>+CLAVO</f>
        <v>5.5</v>
      </c>
      <c r="F526" s="26">
        <f t="shared" si="32"/>
        <v>0</v>
      </c>
      <c r="H526">
        <f>SUM(H524:H525)</f>
        <v>0.18946153846153849</v>
      </c>
    </row>
    <row r="527" spans="1:8" ht="15.75" x14ac:dyDescent="0.25">
      <c r="A527" s="236" t="s">
        <v>57</v>
      </c>
      <c r="B527" s="237"/>
      <c r="C527" s="26">
        <f>+H526*3.5</f>
        <v>0.66311538461538466</v>
      </c>
      <c r="D527" s="27" t="s">
        <v>165</v>
      </c>
      <c r="E527" s="28">
        <f>+ALAMBRE</f>
        <v>5.5</v>
      </c>
      <c r="F527" s="26">
        <f t="shared" si="32"/>
        <v>3.65</v>
      </c>
    </row>
    <row r="528" spans="1:8" ht="15.75" x14ac:dyDescent="0.25">
      <c r="A528" s="236" t="s">
        <v>152</v>
      </c>
      <c r="B528" s="237"/>
      <c r="C528" s="26">
        <f>+C531*24*1/12</f>
        <v>0</v>
      </c>
      <c r="D528" s="27" t="s">
        <v>154</v>
      </c>
      <c r="E528" s="28">
        <f>+MADERA</f>
        <v>6</v>
      </c>
      <c r="F528" s="26">
        <f t="shared" si="32"/>
        <v>0</v>
      </c>
    </row>
    <row r="529" spans="1:8" ht="15.75" x14ac:dyDescent="0.25">
      <c r="A529" s="236" t="s">
        <v>52</v>
      </c>
      <c r="B529" s="237"/>
      <c r="C529" s="26"/>
      <c r="D529" s="27" t="s">
        <v>102</v>
      </c>
      <c r="E529" s="28">
        <f>+SELECTO</f>
        <v>60</v>
      </c>
      <c r="F529" s="26">
        <f t="shared" si="32"/>
        <v>0</v>
      </c>
    </row>
    <row r="530" spans="1:8" ht="15.75" x14ac:dyDescent="0.25">
      <c r="A530" s="39"/>
      <c r="B530" s="241" t="s">
        <v>14</v>
      </c>
      <c r="C530" s="241"/>
      <c r="D530" s="241"/>
      <c r="E530" s="144">
        <f>+D516*0.25*0.25</f>
        <v>0.16875000000000001</v>
      </c>
      <c r="F530" s="41">
        <f>SUM(F521:F529)</f>
        <v>177.64000000000001</v>
      </c>
    </row>
    <row r="531" spans="1:8" ht="15.75" x14ac:dyDescent="0.25">
      <c r="A531" s="249" t="s">
        <v>15</v>
      </c>
      <c r="B531" s="250"/>
      <c r="C531" s="22"/>
      <c r="D531" s="22"/>
      <c r="E531" s="22"/>
      <c r="F531" s="22"/>
    </row>
    <row r="532" spans="1:8" ht="15.75" x14ac:dyDescent="0.25">
      <c r="A532" s="251" t="s">
        <v>166</v>
      </c>
      <c r="B532" s="252"/>
      <c r="C532" s="65">
        <f>+D516*1.32</f>
        <v>3.5640000000000005</v>
      </c>
      <c r="D532" s="66" t="s">
        <v>102</v>
      </c>
      <c r="E532" s="41">
        <v>63.5</v>
      </c>
      <c r="F532" s="41">
        <f t="shared" ref="F532:F537" si="33">+TRUNC(ROUND(E532*C532,2),2)</f>
        <v>226.31</v>
      </c>
    </row>
    <row r="533" spans="1:8" ht="15.75" x14ac:dyDescent="0.25">
      <c r="A533" s="236" t="s">
        <v>158</v>
      </c>
      <c r="B533" s="237"/>
      <c r="C533" s="28">
        <v>0</v>
      </c>
      <c r="D533" s="27" t="s">
        <v>102</v>
      </c>
      <c r="E533" s="26">
        <v>15</v>
      </c>
      <c r="F533" s="26">
        <f t="shared" si="33"/>
        <v>0</v>
      </c>
    </row>
    <row r="534" spans="1:8" ht="15.75" x14ac:dyDescent="0.25">
      <c r="A534" s="236" t="s">
        <v>159</v>
      </c>
      <c r="B534" s="237"/>
      <c r="C534" s="28">
        <f>+C524*6</f>
        <v>10.8</v>
      </c>
      <c r="D534" s="27" t="s">
        <v>160</v>
      </c>
      <c r="E534" s="26">
        <v>1.2</v>
      </c>
      <c r="F534" s="26">
        <f t="shared" si="33"/>
        <v>12.96</v>
      </c>
    </row>
    <row r="535" spans="1:8" ht="15.75" x14ac:dyDescent="0.25">
      <c r="A535" s="236" t="s">
        <v>161</v>
      </c>
      <c r="B535" s="237"/>
      <c r="C535" s="28">
        <f>+C525*6</f>
        <v>9.1800000000000015</v>
      </c>
      <c r="D535" s="27" t="s">
        <v>149</v>
      </c>
      <c r="E535" s="26">
        <v>0.8</v>
      </c>
      <c r="F535" s="26">
        <f t="shared" si="33"/>
        <v>7.34</v>
      </c>
    </row>
    <row r="536" spans="1:8" ht="15.75" x14ac:dyDescent="0.25">
      <c r="A536" s="236" t="s">
        <v>162</v>
      </c>
      <c r="B536" s="237"/>
      <c r="C536" s="28">
        <f>+E530</f>
        <v>0.16875000000000001</v>
      </c>
      <c r="D536" s="27" t="s">
        <v>102</v>
      </c>
      <c r="E536" s="26">
        <v>40</v>
      </c>
      <c r="F536" s="26">
        <f t="shared" si="33"/>
        <v>6.75</v>
      </c>
    </row>
    <row r="537" spans="1:8" ht="15.75" x14ac:dyDescent="0.25">
      <c r="A537" s="236"/>
      <c r="B537" s="237"/>
      <c r="C537" s="28"/>
      <c r="D537" s="27"/>
      <c r="E537" s="26"/>
      <c r="F537" s="26">
        <f t="shared" si="33"/>
        <v>0</v>
      </c>
    </row>
    <row r="538" spans="1:8" ht="15.75" x14ac:dyDescent="0.25">
      <c r="A538" s="29"/>
      <c r="B538" s="30"/>
      <c r="C538" s="238" t="s">
        <v>96</v>
      </c>
      <c r="D538" s="239"/>
      <c r="E538" s="240"/>
      <c r="F538" s="26">
        <f>SUM(F532:F537)</f>
        <v>253.36</v>
      </c>
    </row>
    <row r="539" spans="1:8" ht="15.75" x14ac:dyDescent="0.25">
      <c r="A539" s="31"/>
      <c r="B539" s="68" t="s">
        <v>17</v>
      </c>
      <c r="C539" s="33">
        <f>+AYUDANTE</f>
        <v>40</v>
      </c>
      <c r="D539" s="27" t="s">
        <v>97</v>
      </c>
      <c r="E539" s="26"/>
      <c r="F539" s="23">
        <f>+TRUNC(ROUND(E539*C539,2),2)/100</f>
        <v>0</v>
      </c>
    </row>
    <row r="540" spans="1:8" ht="15.75" x14ac:dyDescent="0.25">
      <c r="A540" s="34"/>
      <c r="B540" s="35" t="s">
        <v>18</v>
      </c>
      <c r="C540" s="36">
        <f>+PRESTACIONES</f>
        <v>40</v>
      </c>
      <c r="D540" s="37" t="s">
        <v>97</v>
      </c>
      <c r="E540" s="38"/>
      <c r="F540" s="38">
        <f>+TRUNC(ROUND(E540*C540,2),2)/100</f>
        <v>0</v>
      </c>
    </row>
    <row r="541" spans="1:8" ht="15.75" x14ac:dyDescent="0.25">
      <c r="A541" s="39"/>
      <c r="B541" s="241" t="s">
        <v>16</v>
      </c>
      <c r="C541" s="241"/>
      <c r="D541" s="242"/>
      <c r="E541" s="40"/>
      <c r="F541" s="41">
        <f>+F540+F539+F538</f>
        <v>253.36</v>
      </c>
    </row>
    <row r="542" spans="1:8" ht="15" customHeight="1" x14ac:dyDescent="0.25">
      <c r="A542" s="22"/>
      <c r="B542" s="22"/>
      <c r="C542" s="22"/>
      <c r="D542" s="234" t="s">
        <v>98</v>
      </c>
      <c r="E542" s="235"/>
      <c r="F542" s="42">
        <f>+F541+F530</f>
        <v>431</v>
      </c>
      <c r="G542" s="17">
        <f>+F542</f>
        <v>431</v>
      </c>
      <c r="H542" s="17">
        <f>+F530+F541+F544</f>
        <v>494.85199999999998</v>
      </c>
    </row>
    <row r="543" spans="1:8" ht="17.25" customHeight="1" x14ac:dyDescent="0.25">
      <c r="A543" s="22"/>
      <c r="B543" s="22"/>
      <c r="C543" s="22"/>
      <c r="D543" s="234" t="s">
        <v>99</v>
      </c>
      <c r="E543" s="235"/>
      <c r="F543" s="43">
        <f>+TRUNC(ROUND(F542/D516,2),2)</f>
        <v>159.63</v>
      </c>
      <c r="H543" s="18"/>
    </row>
    <row r="544" spans="1:8" ht="16.5" customHeight="1" x14ac:dyDescent="0.25">
      <c r="A544" s="22"/>
      <c r="B544" s="22"/>
      <c r="C544" s="22"/>
      <c r="D544" s="234" t="s">
        <v>100</v>
      </c>
      <c r="E544" s="235"/>
      <c r="F544" s="42">
        <f>+F543*INDIRECTOS</f>
        <v>63.852000000000004</v>
      </c>
      <c r="H544" s="17"/>
    </row>
    <row r="545" spans="1:10" ht="15.75" customHeight="1" x14ac:dyDescent="0.25">
      <c r="A545" s="22"/>
      <c r="B545" s="22"/>
      <c r="C545" s="22"/>
      <c r="D545" s="234" t="s">
        <v>101</v>
      </c>
      <c r="E545" s="235"/>
      <c r="F545" s="44">
        <f>+F544+F543</f>
        <v>223.482</v>
      </c>
    </row>
    <row r="546" spans="1:10" ht="15.75" customHeight="1" x14ac:dyDescent="0.25">
      <c r="A546" s="22"/>
      <c r="B546" s="22"/>
      <c r="C546" s="22"/>
      <c r="D546" s="63"/>
      <c r="E546" s="63"/>
      <c r="F546" s="64"/>
    </row>
    <row r="547" spans="1:10" ht="67.5" customHeight="1" x14ac:dyDescent="0.25">
      <c r="A547" s="45" t="s">
        <v>2</v>
      </c>
      <c r="B547" s="69">
        <v>7</v>
      </c>
      <c r="C547" s="46" t="s">
        <v>3</v>
      </c>
      <c r="D547" s="47" t="s">
        <v>174</v>
      </c>
      <c r="E547" s="48" t="s">
        <v>5</v>
      </c>
      <c r="F547" s="91" t="str">
        <f>F515</f>
        <v>CASA RUDY MAEDA</v>
      </c>
    </row>
    <row r="548" spans="1:10" ht="75" customHeight="1" x14ac:dyDescent="0.25">
      <c r="A548" s="49" t="s">
        <v>0</v>
      </c>
      <c r="B548" s="83" t="s">
        <v>112</v>
      </c>
      <c r="C548" s="50" t="s">
        <v>4</v>
      </c>
      <c r="D548" s="85">
        <v>1</v>
      </c>
      <c r="E548" s="51" t="s">
        <v>7</v>
      </c>
      <c r="F548" s="21" t="str">
        <f>F516</f>
        <v>ALDEA EL TULE</v>
      </c>
    </row>
    <row r="549" spans="1:10" ht="15.75" x14ac:dyDescent="0.25">
      <c r="A549" s="52" t="s">
        <v>1</v>
      </c>
      <c r="B549" s="70">
        <v>7.2</v>
      </c>
      <c r="C549" s="53"/>
      <c r="D549" s="54"/>
      <c r="E549" s="55" t="s">
        <v>6</v>
      </c>
      <c r="F549" s="56">
        <f>+F517</f>
        <v>42436</v>
      </c>
    </row>
    <row r="550" spans="1:10" ht="15.75" x14ac:dyDescent="0.25">
      <c r="A550" s="57"/>
      <c r="B550" s="57"/>
      <c r="C550" s="57"/>
      <c r="D550" s="57"/>
      <c r="E550" s="57"/>
      <c r="F550" s="57"/>
    </row>
    <row r="551" spans="1:10" ht="28.5" x14ac:dyDescent="0.25">
      <c r="A551" s="243" t="s">
        <v>9</v>
      </c>
      <c r="B551" s="244"/>
      <c r="C551" s="67" t="s">
        <v>10</v>
      </c>
      <c r="D551" s="59" t="s">
        <v>11</v>
      </c>
      <c r="E551" s="60" t="s">
        <v>12</v>
      </c>
      <c r="F551" s="61" t="s">
        <v>13</v>
      </c>
    </row>
    <row r="552" spans="1:10" ht="15.75" x14ac:dyDescent="0.25">
      <c r="A552" s="245" t="s">
        <v>8</v>
      </c>
      <c r="B552" s="246"/>
      <c r="C552" s="22"/>
      <c r="D552" s="22"/>
      <c r="E552" s="22"/>
      <c r="F552" s="22"/>
    </row>
    <row r="553" spans="1:10" ht="15.75" x14ac:dyDescent="0.25">
      <c r="A553" s="247" t="s">
        <v>193</v>
      </c>
      <c r="B553" s="248"/>
      <c r="C553" s="23">
        <v>10</v>
      </c>
      <c r="D553" s="24" t="s">
        <v>169</v>
      </c>
      <c r="E553" s="25"/>
      <c r="F553" s="23">
        <f>+TRUNC(ROUND(E553*C553,2),2)</f>
        <v>0</v>
      </c>
      <c r="H553" s="88">
        <f>42.8/3</f>
        <v>14.266666666666666</v>
      </c>
      <c r="I553" s="80">
        <f>84.68/3</f>
        <v>28.22666666666667</v>
      </c>
      <c r="J553" s="75">
        <f>117/3</f>
        <v>39</v>
      </c>
    </row>
    <row r="554" spans="1:10" ht="15.75" x14ac:dyDescent="0.25">
      <c r="A554" s="86" t="s">
        <v>205</v>
      </c>
      <c r="B554" s="87"/>
      <c r="C554" s="26">
        <v>46.84</v>
      </c>
      <c r="D554" s="27" t="s">
        <v>204</v>
      </c>
      <c r="E554" s="28"/>
      <c r="F554" s="26"/>
      <c r="H554" s="88"/>
      <c r="I554" s="80"/>
      <c r="J554" s="80"/>
    </row>
    <row r="555" spans="1:10" ht="15.75" x14ac:dyDescent="0.25">
      <c r="A555" s="86" t="s">
        <v>202</v>
      </c>
      <c r="B555" s="87"/>
      <c r="C555" s="26">
        <v>43.88</v>
      </c>
      <c r="D555" s="27" t="s">
        <v>204</v>
      </c>
      <c r="E555" s="28"/>
      <c r="F555" s="26"/>
    </row>
    <row r="556" spans="1:10" ht="15.75" x14ac:dyDescent="0.25">
      <c r="A556" s="86" t="s">
        <v>203</v>
      </c>
      <c r="B556" s="87"/>
      <c r="C556" s="26">
        <v>26.31</v>
      </c>
      <c r="D556" s="27" t="s">
        <v>204</v>
      </c>
      <c r="E556" s="28"/>
      <c r="F556" s="26"/>
      <c r="G556" s="17"/>
      <c r="J556" s="17">
        <f>+C555+C556</f>
        <v>70.19</v>
      </c>
    </row>
    <row r="557" spans="1:10" ht="15.75" x14ac:dyDescent="0.25">
      <c r="A557" s="236" t="s">
        <v>200</v>
      </c>
      <c r="B557" s="237"/>
      <c r="C557" s="26">
        <v>23</v>
      </c>
      <c r="D557" s="27" t="s">
        <v>169</v>
      </c>
      <c r="E557" s="28"/>
      <c r="F557" s="26"/>
    </row>
    <row r="558" spans="1:10" ht="15.75" x14ac:dyDescent="0.25">
      <c r="A558" s="236" t="s">
        <v>201</v>
      </c>
      <c r="B558" s="237"/>
      <c r="C558" s="26">
        <v>4</v>
      </c>
      <c r="D558" s="27" t="s">
        <v>169</v>
      </c>
      <c r="E558" s="28"/>
      <c r="F558" s="26"/>
    </row>
    <row r="559" spans="1:10" ht="15.75" x14ac:dyDescent="0.25">
      <c r="A559" s="236" t="s">
        <v>194</v>
      </c>
      <c r="B559" s="237"/>
      <c r="C559" s="26">
        <v>8</v>
      </c>
      <c r="D559" s="27" t="s">
        <v>169</v>
      </c>
      <c r="E559" s="28"/>
      <c r="F559" s="26">
        <f t="shared" ref="F559:F564" si="34">+TRUNC(ROUND(E559*C559,2),2)</f>
        <v>0</v>
      </c>
    </row>
    <row r="560" spans="1:10" ht="15.75" x14ac:dyDescent="0.25">
      <c r="A560" s="236" t="s">
        <v>195</v>
      </c>
      <c r="B560" s="237"/>
      <c r="C560" s="26">
        <v>1</v>
      </c>
      <c r="D560" s="27" t="s">
        <v>169</v>
      </c>
      <c r="E560" s="28"/>
      <c r="F560" s="26">
        <f t="shared" si="34"/>
        <v>0</v>
      </c>
    </row>
    <row r="561" spans="1:6" ht="15.75" x14ac:dyDescent="0.25">
      <c r="A561" s="236" t="s">
        <v>196</v>
      </c>
      <c r="B561" s="237"/>
      <c r="C561" s="26">
        <v>2</v>
      </c>
      <c r="D561" s="27" t="s">
        <v>169</v>
      </c>
      <c r="E561" s="28"/>
      <c r="F561" s="26">
        <f t="shared" si="34"/>
        <v>0</v>
      </c>
    </row>
    <row r="562" spans="1:6" ht="15.75" x14ac:dyDescent="0.25">
      <c r="A562" s="236" t="s">
        <v>197</v>
      </c>
      <c r="B562" s="237"/>
      <c r="C562" s="26">
        <v>4</v>
      </c>
      <c r="D562" s="27" t="s">
        <v>169</v>
      </c>
      <c r="E562" s="28"/>
      <c r="F562" s="26">
        <f t="shared" si="34"/>
        <v>0</v>
      </c>
    </row>
    <row r="563" spans="1:6" ht="15.75" x14ac:dyDescent="0.25">
      <c r="A563" s="236" t="s">
        <v>198</v>
      </c>
      <c r="B563" s="237"/>
      <c r="C563" s="26">
        <v>3</v>
      </c>
      <c r="D563" s="27" t="s">
        <v>169</v>
      </c>
      <c r="E563" s="28"/>
      <c r="F563" s="26">
        <f t="shared" si="34"/>
        <v>0</v>
      </c>
    </row>
    <row r="564" spans="1:6" ht="15.75" x14ac:dyDescent="0.25">
      <c r="A564" s="236" t="s">
        <v>199</v>
      </c>
      <c r="B564" s="237"/>
      <c r="C564" s="26">
        <v>1</v>
      </c>
      <c r="D564" s="27" t="s">
        <v>169</v>
      </c>
      <c r="E564" s="28"/>
      <c r="F564" s="26">
        <f t="shared" si="34"/>
        <v>0</v>
      </c>
    </row>
    <row r="565" spans="1:6" ht="15.75" x14ac:dyDescent="0.25">
      <c r="A565" s="86"/>
      <c r="B565" s="87"/>
      <c r="C565" s="26"/>
      <c r="D565" s="27"/>
      <c r="E565" s="28"/>
      <c r="F565" s="26"/>
    </row>
    <row r="566" spans="1:6" ht="15.75" x14ac:dyDescent="0.25">
      <c r="A566" s="86"/>
      <c r="B566" s="87"/>
      <c r="C566" s="26"/>
      <c r="D566" s="27"/>
      <c r="E566" s="28"/>
      <c r="F566" s="26"/>
    </row>
    <row r="567" spans="1:6" ht="15.75" x14ac:dyDescent="0.25">
      <c r="A567" s="86"/>
      <c r="B567" s="87"/>
      <c r="C567" s="26"/>
      <c r="D567" s="27"/>
      <c r="E567" s="28"/>
      <c r="F567" s="26"/>
    </row>
    <row r="568" spans="1:6" ht="15.75" x14ac:dyDescent="0.25">
      <c r="A568" s="255"/>
      <c r="B568" s="256"/>
      <c r="C568" s="26"/>
      <c r="D568" s="27"/>
      <c r="E568" s="28"/>
      <c r="F568" s="26">
        <f>+TRUNC(ROUND(E568*C568,2),2)</f>
        <v>0</v>
      </c>
    </row>
    <row r="569" spans="1:6" ht="15.75" x14ac:dyDescent="0.25">
      <c r="A569" s="39"/>
      <c r="B569" s="241" t="s">
        <v>14</v>
      </c>
      <c r="C569" s="241"/>
      <c r="D569" s="241"/>
      <c r="E569" s="62"/>
      <c r="F569" s="41">
        <f>SUM(F553:F568)</f>
        <v>0</v>
      </c>
    </row>
    <row r="570" spans="1:6" ht="15.75" x14ac:dyDescent="0.25">
      <c r="A570" s="249" t="s">
        <v>15</v>
      </c>
      <c r="B570" s="250"/>
      <c r="C570" s="22"/>
      <c r="D570" s="22"/>
      <c r="E570" s="22"/>
      <c r="F570" s="22"/>
    </row>
    <row r="571" spans="1:6" ht="15.75" x14ac:dyDescent="0.25">
      <c r="A571" s="251" t="s">
        <v>192</v>
      </c>
      <c r="B571" s="252"/>
      <c r="C571" s="65">
        <f>+D548</f>
        <v>1</v>
      </c>
      <c r="D571" s="66" t="s">
        <v>169</v>
      </c>
      <c r="E571" s="41">
        <v>250</v>
      </c>
      <c r="F571" s="41">
        <f t="shared" ref="F571:F576" si="35">+TRUNC(ROUND(E571*C571,2),2)</f>
        <v>250</v>
      </c>
    </row>
    <row r="572" spans="1:6" ht="15.75" x14ac:dyDescent="0.25">
      <c r="A572" s="236"/>
      <c r="B572" s="237"/>
      <c r="C572" s="28"/>
      <c r="D572" s="27"/>
      <c r="E572" s="26"/>
      <c r="F572" s="26">
        <f t="shared" si="35"/>
        <v>0</v>
      </c>
    </row>
    <row r="573" spans="1:6" ht="15.75" x14ac:dyDescent="0.25">
      <c r="A573" s="236"/>
      <c r="B573" s="237"/>
      <c r="C573" s="28"/>
      <c r="D573" s="27"/>
      <c r="E573" s="26"/>
      <c r="F573" s="26">
        <f t="shared" si="35"/>
        <v>0</v>
      </c>
    </row>
    <row r="574" spans="1:6" ht="15.75" x14ac:dyDescent="0.25">
      <c r="A574" s="236"/>
      <c r="B574" s="237"/>
      <c r="C574" s="28"/>
      <c r="D574" s="27"/>
      <c r="E574" s="26"/>
      <c r="F574" s="26">
        <f t="shared" si="35"/>
        <v>0</v>
      </c>
    </row>
    <row r="575" spans="1:6" ht="15.75" x14ac:dyDescent="0.25">
      <c r="A575" s="236"/>
      <c r="B575" s="237"/>
      <c r="C575" s="28"/>
      <c r="D575" s="27"/>
      <c r="E575" s="26"/>
      <c r="F575" s="26">
        <f t="shared" si="35"/>
        <v>0</v>
      </c>
    </row>
    <row r="576" spans="1:6" ht="15.75" x14ac:dyDescent="0.25">
      <c r="A576" s="236"/>
      <c r="B576" s="237"/>
      <c r="C576" s="28"/>
      <c r="D576" s="27"/>
      <c r="E576" s="26"/>
      <c r="F576" s="26">
        <f t="shared" si="35"/>
        <v>0</v>
      </c>
    </row>
    <row r="577" spans="1:8" ht="15.75" x14ac:dyDescent="0.25">
      <c r="A577" s="29"/>
      <c r="B577" s="30"/>
      <c r="C577" s="238" t="s">
        <v>96</v>
      </c>
      <c r="D577" s="239"/>
      <c r="E577" s="240"/>
      <c r="F577" s="26">
        <f>SUM(F571:F576)</f>
        <v>250</v>
      </c>
    </row>
    <row r="578" spans="1:8" ht="15.75" x14ac:dyDescent="0.25">
      <c r="A578" s="31"/>
      <c r="B578" s="68" t="s">
        <v>17</v>
      </c>
      <c r="C578" s="33">
        <f>+AYUDANTE</f>
        <v>40</v>
      </c>
      <c r="D578" s="27" t="s">
        <v>97</v>
      </c>
      <c r="E578" s="26"/>
      <c r="F578" s="23">
        <f>+TRUNC(ROUND(E578*C578,2),2)/100</f>
        <v>0</v>
      </c>
    </row>
    <row r="579" spans="1:8" ht="15.75" x14ac:dyDescent="0.25">
      <c r="A579" s="34"/>
      <c r="B579" s="35" t="s">
        <v>18</v>
      </c>
      <c r="C579" s="36">
        <f>+PRESTACIONES</f>
        <v>40</v>
      </c>
      <c r="D579" s="37" t="s">
        <v>97</v>
      </c>
      <c r="E579" s="38"/>
      <c r="F579" s="38">
        <f>+TRUNC(ROUND(E579*C579,2),2)/100</f>
        <v>0</v>
      </c>
    </row>
    <row r="580" spans="1:8" ht="15.75" x14ac:dyDescent="0.25">
      <c r="A580" s="39"/>
      <c r="B580" s="241" t="s">
        <v>16</v>
      </c>
      <c r="C580" s="241"/>
      <c r="D580" s="242"/>
      <c r="E580" s="40"/>
      <c r="F580" s="41">
        <f>+F579+F578+F577</f>
        <v>250</v>
      </c>
    </row>
    <row r="581" spans="1:8" ht="15" customHeight="1" x14ac:dyDescent="0.25">
      <c r="A581" s="22"/>
      <c r="B581" s="22"/>
      <c r="C581" s="22"/>
      <c r="D581" s="234" t="s">
        <v>98</v>
      </c>
      <c r="E581" s="235"/>
      <c r="F581" s="42">
        <f>+F580+F569</f>
        <v>250</v>
      </c>
      <c r="G581" s="17">
        <f>+F581</f>
        <v>250</v>
      </c>
      <c r="H581" s="17">
        <f>+F569+F580+F583</f>
        <v>350</v>
      </c>
    </row>
    <row r="582" spans="1:8" ht="17.25" customHeight="1" x14ac:dyDescent="0.25">
      <c r="A582" s="22"/>
      <c r="B582" s="22"/>
      <c r="C582" s="22"/>
      <c r="D582" s="234" t="s">
        <v>99</v>
      </c>
      <c r="E582" s="235"/>
      <c r="F582" s="43">
        <f>+TRUNC(ROUND(F581/D548,2),2)</f>
        <v>250</v>
      </c>
      <c r="H582" s="18"/>
    </row>
    <row r="583" spans="1:8" ht="16.5" customHeight="1" x14ac:dyDescent="0.25">
      <c r="A583" s="22"/>
      <c r="B583" s="22"/>
      <c r="C583" s="22"/>
      <c r="D583" s="234" t="s">
        <v>100</v>
      </c>
      <c r="E583" s="235"/>
      <c r="F583" s="42">
        <f>+F582*INDIRECTOS</f>
        <v>100</v>
      </c>
      <c r="H583" s="17"/>
    </row>
    <row r="584" spans="1:8" ht="15.75" customHeight="1" x14ac:dyDescent="0.25">
      <c r="A584" s="22"/>
      <c r="B584" s="22"/>
      <c r="C584" s="22"/>
      <c r="D584" s="234" t="s">
        <v>101</v>
      </c>
      <c r="E584" s="235"/>
      <c r="F584" s="44">
        <f>+F583+F582</f>
        <v>350</v>
      </c>
    </row>
    <row r="585" spans="1:8" ht="15.75" customHeight="1" x14ac:dyDescent="0.25">
      <c r="A585" s="22"/>
      <c r="B585" s="22"/>
      <c r="C585" s="22"/>
      <c r="D585" s="63"/>
      <c r="E585" s="63"/>
      <c r="F585" s="64"/>
    </row>
    <row r="586" spans="1:8" ht="67.5" customHeight="1" x14ac:dyDescent="0.25">
      <c r="A586" s="45" t="s">
        <v>2</v>
      </c>
      <c r="B586" s="69">
        <v>8</v>
      </c>
      <c r="C586" s="46" t="s">
        <v>3</v>
      </c>
      <c r="D586" s="47" t="s">
        <v>174</v>
      </c>
      <c r="E586" s="48" t="s">
        <v>5</v>
      </c>
      <c r="F586" s="91" t="str">
        <f>F547</f>
        <v>CASA RUDY MAEDA</v>
      </c>
    </row>
    <row r="587" spans="1:8" ht="75" customHeight="1" x14ac:dyDescent="0.25">
      <c r="A587" s="49" t="s">
        <v>0</v>
      </c>
      <c r="B587" s="83" t="s">
        <v>114</v>
      </c>
      <c r="C587" s="50" t="s">
        <v>4</v>
      </c>
      <c r="D587" s="85">
        <v>1</v>
      </c>
      <c r="E587" s="51" t="s">
        <v>7</v>
      </c>
      <c r="F587" s="21" t="str">
        <f>F548</f>
        <v>ALDEA EL TULE</v>
      </c>
    </row>
    <row r="588" spans="1:8" ht="15.75" x14ac:dyDescent="0.25">
      <c r="A588" s="52" t="s">
        <v>1</v>
      </c>
      <c r="B588" s="70">
        <v>8.1</v>
      </c>
      <c r="C588" s="53"/>
      <c r="D588" s="54"/>
      <c r="E588" s="55" t="s">
        <v>6</v>
      </c>
      <c r="F588" s="56">
        <f>+F549</f>
        <v>42436</v>
      </c>
    </row>
    <row r="589" spans="1:8" ht="15.75" x14ac:dyDescent="0.25">
      <c r="A589" s="57"/>
      <c r="B589" s="57"/>
      <c r="C589" s="57"/>
      <c r="D589" s="57"/>
      <c r="E589" s="57"/>
      <c r="F589" s="57"/>
    </row>
    <row r="590" spans="1:8" ht="28.5" x14ac:dyDescent="0.25">
      <c r="A590" s="243" t="s">
        <v>9</v>
      </c>
      <c r="B590" s="244"/>
      <c r="C590" s="67" t="s">
        <v>10</v>
      </c>
      <c r="D590" s="59" t="s">
        <v>11</v>
      </c>
      <c r="E590" s="60" t="s">
        <v>12</v>
      </c>
      <c r="F590" s="61" t="s">
        <v>13</v>
      </c>
    </row>
    <row r="591" spans="1:8" ht="15.75" x14ac:dyDescent="0.25">
      <c r="A591" s="245" t="s">
        <v>8</v>
      </c>
      <c r="B591" s="246"/>
      <c r="C591" s="22"/>
      <c r="D591" s="22"/>
      <c r="E591" s="22"/>
      <c r="F591" s="22"/>
    </row>
    <row r="592" spans="1:8" ht="15.75" x14ac:dyDescent="0.25">
      <c r="A592" s="247"/>
      <c r="B592" s="248"/>
      <c r="C592" s="23"/>
      <c r="D592" s="24"/>
      <c r="E592" s="25"/>
      <c r="F592" s="23">
        <f t="shared" ref="F592:F599" si="36">+TRUNC(ROUND(E592*C592,2),2)</f>
        <v>0</v>
      </c>
    </row>
    <row r="593" spans="1:6" ht="15.75" x14ac:dyDescent="0.25">
      <c r="A593" s="236"/>
      <c r="B593" s="237"/>
      <c r="C593" s="26"/>
      <c r="D593" s="27"/>
      <c r="E593" s="28"/>
      <c r="F593" s="26">
        <f t="shared" si="36"/>
        <v>0</v>
      </c>
    </row>
    <row r="594" spans="1:6" ht="15.75" x14ac:dyDescent="0.25">
      <c r="A594" s="236"/>
      <c r="B594" s="237"/>
      <c r="C594" s="26"/>
      <c r="D594" s="27"/>
      <c r="E594" s="28"/>
      <c r="F594" s="26">
        <f t="shared" si="36"/>
        <v>0</v>
      </c>
    </row>
    <row r="595" spans="1:6" ht="15.75" x14ac:dyDescent="0.25">
      <c r="A595" s="236"/>
      <c r="B595" s="237"/>
      <c r="C595" s="26"/>
      <c r="D595" s="27"/>
      <c r="E595" s="28"/>
      <c r="F595" s="26">
        <f t="shared" si="36"/>
        <v>0</v>
      </c>
    </row>
    <row r="596" spans="1:6" ht="15.75" x14ac:dyDescent="0.25">
      <c r="A596" s="236"/>
      <c r="B596" s="237"/>
      <c r="C596" s="26"/>
      <c r="D596" s="27"/>
      <c r="E596" s="28"/>
      <c r="F596" s="26">
        <f t="shared" si="36"/>
        <v>0</v>
      </c>
    </row>
    <row r="597" spans="1:6" ht="15.75" x14ac:dyDescent="0.25">
      <c r="A597" s="236"/>
      <c r="B597" s="237"/>
      <c r="C597" s="26"/>
      <c r="D597" s="27"/>
      <c r="E597" s="28"/>
      <c r="F597" s="26">
        <f t="shared" si="36"/>
        <v>0</v>
      </c>
    </row>
    <row r="598" spans="1:6" ht="15.75" x14ac:dyDescent="0.25">
      <c r="A598" s="236"/>
      <c r="B598" s="237"/>
      <c r="C598" s="26"/>
      <c r="D598" s="27"/>
      <c r="E598" s="28"/>
      <c r="F598" s="26">
        <f t="shared" si="36"/>
        <v>0</v>
      </c>
    </row>
    <row r="599" spans="1:6" ht="15.75" x14ac:dyDescent="0.25">
      <c r="A599" s="236"/>
      <c r="B599" s="237"/>
      <c r="C599" s="26"/>
      <c r="D599" s="27"/>
      <c r="E599" s="28"/>
      <c r="F599" s="26">
        <f t="shared" si="36"/>
        <v>0</v>
      </c>
    </row>
    <row r="600" spans="1:6" ht="15.75" x14ac:dyDescent="0.25">
      <c r="A600" s="39"/>
      <c r="B600" s="241" t="s">
        <v>14</v>
      </c>
      <c r="C600" s="241"/>
      <c r="D600" s="241"/>
      <c r="E600" s="62"/>
      <c r="F600" s="41">
        <f>SUM(F592:F599)</f>
        <v>0</v>
      </c>
    </row>
    <row r="601" spans="1:6" ht="15.75" x14ac:dyDescent="0.25">
      <c r="A601" s="249" t="s">
        <v>15</v>
      </c>
      <c r="B601" s="250"/>
      <c r="C601" s="22"/>
      <c r="D601" s="22"/>
      <c r="E601" s="22"/>
      <c r="F601" s="22"/>
    </row>
    <row r="602" spans="1:6" ht="15.75" x14ac:dyDescent="0.25">
      <c r="A602" s="251" t="s">
        <v>105</v>
      </c>
      <c r="B602" s="252"/>
      <c r="C602" s="65">
        <f>+D587</f>
        <v>1</v>
      </c>
      <c r="D602" s="66" t="s">
        <v>169</v>
      </c>
      <c r="E602" s="41">
        <v>63.5</v>
      </c>
      <c r="F602" s="41">
        <f t="shared" ref="F602:F607" si="37">+TRUNC(ROUND(E602*C602,2),2)</f>
        <v>63.5</v>
      </c>
    </row>
    <row r="603" spans="1:6" ht="15.75" x14ac:dyDescent="0.25">
      <c r="A603" s="236"/>
      <c r="B603" s="237"/>
      <c r="C603" s="28"/>
      <c r="D603" s="27"/>
      <c r="E603" s="26"/>
      <c r="F603" s="26">
        <f t="shared" si="37"/>
        <v>0</v>
      </c>
    </row>
    <row r="604" spans="1:6" ht="15.75" x14ac:dyDescent="0.25">
      <c r="A604" s="236"/>
      <c r="B604" s="237"/>
      <c r="C604" s="28"/>
      <c r="D604" s="27"/>
      <c r="E604" s="26"/>
      <c r="F604" s="26">
        <f t="shared" si="37"/>
        <v>0</v>
      </c>
    </row>
    <row r="605" spans="1:6" ht="15.75" x14ac:dyDescent="0.25">
      <c r="A605" s="236"/>
      <c r="B605" s="237"/>
      <c r="C605" s="28"/>
      <c r="D605" s="27"/>
      <c r="E605" s="26"/>
      <c r="F605" s="26">
        <f t="shared" si="37"/>
        <v>0</v>
      </c>
    </row>
    <row r="606" spans="1:6" ht="15.75" x14ac:dyDescent="0.25">
      <c r="A606" s="236"/>
      <c r="B606" s="237"/>
      <c r="C606" s="28"/>
      <c r="D606" s="27"/>
      <c r="E606" s="26"/>
      <c r="F606" s="26">
        <f t="shared" si="37"/>
        <v>0</v>
      </c>
    </row>
    <row r="607" spans="1:6" ht="15.75" x14ac:dyDescent="0.25">
      <c r="A607" s="236"/>
      <c r="B607" s="237"/>
      <c r="C607" s="28"/>
      <c r="D607" s="27"/>
      <c r="E607" s="26"/>
      <c r="F607" s="26">
        <f t="shared" si="37"/>
        <v>0</v>
      </c>
    </row>
    <row r="608" spans="1:6" ht="15.75" x14ac:dyDescent="0.25">
      <c r="A608" s="29"/>
      <c r="B608" s="30"/>
      <c r="C608" s="238" t="s">
        <v>96</v>
      </c>
      <c r="D608" s="239"/>
      <c r="E608" s="240"/>
      <c r="F608" s="26">
        <f>SUM(F602:F607)</f>
        <v>63.5</v>
      </c>
    </row>
    <row r="609" spans="1:8" ht="15.75" x14ac:dyDescent="0.25">
      <c r="A609" s="31"/>
      <c r="B609" s="68" t="s">
        <v>17</v>
      </c>
      <c r="C609" s="33">
        <f>+AYUDANTE</f>
        <v>40</v>
      </c>
      <c r="D609" s="27" t="s">
        <v>97</v>
      </c>
      <c r="E609" s="26"/>
      <c r="F609" s="23">
        <f>+TRUNC(ROUND(E609*C609,2),2)/100</f>
        <v>0</v>
      </c>
    </row>
    <row r="610" spans="1:8" ht="15.75" x14ac:dyDescent="0.25">
      <c r="A610" s="34"/>
      <c r="B610" s="35" t="s">
        <v>18</v>
      </c>
      <c r="C610" s="36">
        <f>+PRESTACIONES</f>
        <v>40</v>
      </c>
      <c r="D610" s="37" t="s">
        <v>97</v>
      </c>
      <c r="E610" s="38"/>
      <c r="F610" s="38">
        <f>+TRUNC(ROUND(E610*C610,2),2)/100</f>
        <v>0</v>
      </c>
    </row>
    <row r="611" spans="1:8" ht="15.75" x14ac:dyDescent="0.25">
      <c r="A611" s="39"/>
      <c r="B611" s="241" t="s">
        <v>16</v>
      </c>
      <c r="C611" s="241"/>
      <c r="D611" s="242"/>
      <c r="E611" s="40"/>
      <c r="F611" s="41">
        <f>+F610+F609+F608</f>
        <v>63.5</v>
      </c>
    </row>
    <row r="612" spans="1:8" ht="15" customHeight="1" x14ac:dyDescent="0.25">
      <c r="A612" s="22"/>
      <c r="B612" s="22"/>
      <c r="C612" s="22"/>
      <c r="D612" s="234" t="s">
        <v>98</v>
      </c>
      <c r="E612" s="235"/>
      <c r="F612" s="42">
        <f>+F611+F600</f>
        <v>63.5</v>
      </c>
      <c r="G612" s="17">
        <f>+F612</f>
        <v>63.5</v>
      </c>
      <c r="H612" s="17">
        <f>+F600+F611+F614</f>
        <v>88.9</v>
      </c>
    </row>
    <row r="613" spans="1:8" ht="17.25" customHeight="1" x14ac:dyDescent="0.25">
      <c r="A613" s="22"/>
      <c r="B613" s="22"/>
      <c r="C613" s="22"/>
      <c r="D613" s="234" t="s">
        <v>99</v>
      </c>
      <c r="E613" s="235"/>
      <c r="F613" s="43">
        <f>+TRUNC(ROUND(F612/D587,2),2)</f>
        <v>63.5</v>
      </c>
      <c r="H613" s="18"/>
    </row>
    <row r="614" spans="1:8" ht="16.5" customHeight="1" x14ac:dyDescent="0.25">
      <c r="A614" s="22"/>
      <c r="B614" s="22"/>
      <c r="C614" s="22"/>
      <c r="D614" s="234" t="s">
        <v>100</v>
      </c>
      <c r="E614" s="235"/>
      <c r="F614" s="42">
        <f>+F613*INDIRECTOS</f>
        <v>25.400000000000002</v>
      </c>
      <c r="H614" s="17"/>
    </row>
    <row r="615" spans="1:8" ht="15.75" customHeight="1" x14ac:dyDescent="0.25">
      <c r="A615" s="22"/>
      <c r="B615" s="22"/>
      <c r="C615" s="22"/>
      <c r="D615" s="234" t="s">
        <v>101</v>
      </c>
      <c r="E615" s="235"/>
      <c r="F615" s="44">
        <f>+F614+F613</f>
        <v>88.9</v>
      </c>
    </row>
    <row r="616" spans="1:8" ht="15.75" customHeight="1" x14ac:dyDescent="0.25">
      <c r="A616" s="22"/>
      <c r="B616" s="22"/>
      <c r="C616" s="22"/>
      <c r="D616" s="63"/>
      <c r="E616" s="63"/>
      <c r="F616" s="64"/>
    </row>
    <row r="617" spans="1:8" ht="67.5" customHeight="1" x14ac:dyDescent="0.25">
      <c r="A617" s="45" t="s">
        <v>2</v>
      </c>
      <c r="B617" s="69">
        <v>9</v>
      </c>
      <c r="C617" s="46" t="s">
        <v>3</v>
      </c>
      <c r="D617" s="47" t="s">
        <v>174</v>
      </c>
      <c r="E617" s="48" t="s">
        <v>5</v>
      </c>
      <c r="F617" s="91" t="str">
        <f>F586</f>
        <v>CASA RUDY MAEDA</v>
      </c>
    </row>
    <row r="618" spans="1:8" ht="75" customHeight="1" x14ac:dyDescent="0.25">
      <c r="A618" s="49" t="s">
        <v>0</v>
      </c>
      <c r="B618" s="83" t="s">
        <v>208</v>
      </c>
      <c r="C618" s="50" t="s">
        <v>4</v>
      </c>
      <c r="D618" s="85">
        <v>1</v>
      </c>
      <c r="E618" s="51" t="s">
        <v>7</v>
      </c>
      <c r="F618" s="21" t="str">
        <f>F587</f>
        <v>ALDEA EL TULE</v>
      </c>
    </row>
    <row r="619" spans="1:8" ht="15.75" x14ac:dyDescent="0.25">
      <c r="A619" s="52" t="s">
        <v>1</v>
      </c>
      <c r="B619" s="70">
        <v>9.1</v>
      </c>
      <c r="C619" s="53"/>
      <c r="D619" s="54"/>
      <c r="E619" s="55" t="s">
        <v>6</v>
      </c>
      <c r="F619" s="56">
        <f>+F588</f>
        <v>42436</v>
      </c>
    </row>
    <row r="620" spans="1:8" ht="15.75" x14ac:dyDescent="0.25">
      <c r="A620" s="57"/>
      <c r="B620" s="57"/>
      <c r="C620" s="57"/>
      <c r="D620" s="57"/>
      <c r="E620" s="57"/>
      <c r="F620" s="57"/>
    </row>
    <row r="621" spans="1:8" ht="28.5" x14ac:dyDescent="0.25">
      <c r="A621" s="243" t="s">
        <v>9</v>
      </c>
      <c r="B621" s="244"/>
      <c r="C621" s="67" t="s">
        <v>10</v>
      </c>
      <c r="D621" s="59" t="s">
        <v>11</v>
      </c>
      <c r="E621" s="60" t="s">
        <v>12</v>
      </c>
      <c r="F621" s="61" t="s">
        <v>13</v>
      </c>
    </row>
    <row r="622" spans="1:8" ht="15.75" x14ac:dyDescent="0.25">
      <c r="A622" s="245" t="s">
        <v>8</v>
      </c>
      <c r="B622" s="246"/>
      <c r="C622" s="22"/>
      <c r="D622" s="22"/>
      <c r="E622" s="22"/>
      <c r="F622" s="22"/>
    </row>
    <row r="623" spans="1:8" ht="15.75" x14ac:dyDescent="0.25">
      <c r="A623" s="247"/>
      <c r="B623" s="248"/>
      <c r="C623" s="23"/>
      <c r="D623" s="24"/>
      <c r="E623" s="25"/>
      <c r="F623" s="23">
        <f t="shared" ref="F623:F630" si="38">+TRUNC(ROUND(E623*C623,2),2)</f>
        <v>0</v>
      </c>
    </row>
    <row r="624" spans="1:8" ht="15.75" x14ac:dyDescent="0.25">
      <c r="A624" s="236"/>
      <c r="B624" s="237"/>
      <c r="C624" s="26"/>
      <c r="D624" s="27"/>
      <c r="E624" s="28"/>
      <c r="F624" s="26">
        <f t="shared" si="38"/>
        <v>0</v>
      </c>
    </row>
    <row r="625" spans="1:6" ht="15.75" x14ac:dyDescent="0.25">
      <c r="A625" s="236"/>
      <c r="B625" s="237"/>
      <c r="C625" s="26"/>
      <c r="D625" s="27"/>
      <c r="E625" s="28"/>
      <c r="F625" s="26">
        <f t="shared" si="38"/>
        <v>0</v>
      </c>
    </row>
    <row r="626" spans="1:6" ht="15.75" x14ac:dyDescent="0.25">
      <c r="A626" s="236"/>
      <c r="B626" s="237"/>
      <c r="C626" s="26"/>
      <c r="D626" s="27"/>
      <c r="E626" s="28"/>
      <c r="F626" s="26">
        <f t="shared" si="38"/>
        <v>0</v>
      </c>
    </row>
    <row r="627" spans="1:6" ht="15.75" x14ac:dyDescent="0.25">
      <c r="A627" s="236"/>
      <c r="B627" s="237"/>
      <c r="C627" s="26"/>
      <c r="D627" s="27"/>
      <c r="E627" s="28"/>
      <c r="F627" s="26">
        <f t="shared" si="38"/>
        <v>0</v>
      </c>
    </row>
    <row r="628" spans="1:6" ht="15.75" x14ac:dyDescent="0.25">
      <c r="A628" s="236"/>
      <c r="B628" s="237"/>
      <c r="C628" s="26"/>
      <c r="D628" s="27"/>
      <c r="E628" s="28"/>
      <c r="F628" s="26">
        <f t="shared" si="38"/>
        <v>0</v>
      </c>
    </row>
    <row r="629" spans="1:6" ht="15.75" x14ac:dyDescent="0.25">
      <c r="A629" s="236" t="s">
        <v>179</v>
      </c>
      <c r="B629" s="237"/>
      <c r="C629" s="26"/>
      <c r="D629" s="27"/>
      <c r="E629" s="28"/>
      <c r="F629" s="26">
        <f t="shared" si="38"/>
        <v>0</v>
      </c>
    </row>
    <row r="630" spans="1:6" ht="15.75" x14ac:dyDescent="0.25">
      <c r="A630" s="236"/>
      <c r="B630" s="237"/>
      <c r="C630" s="26"/>
      <c r="D630" s="27"/>
      <c r="E630" s="28"/>
      <c r="F630" s="26">
        <f t="shared" si="38"/>
        <v>0</v>
      </c>
    </row>
    <row r="631" spans="1:6" ht="15.75" x14ac:dyDescent="0.25">
      <c r="A631" s="39"/>
      <c r="B631" s="241" t="s">
        <v>14</v>
      </c>
      <c r="C631" s="241"/>
      <c r="D631" s="241"/>
      <c r="E631" s="62"/>
      <c r="F631" s="41">
        <f>SUM(F623:F630)</f>
        <v>0</v>
      </c>
    </row>
    <row r="632" spans="1:6" ht="15.75" x14ac:dyDescent="0.25">
      <c r="A632" s="249" t="s">
        <v>15</v>
      </c>
      <c r="B632" s="250"/>
      <c r="C632" s="22"/>
      <c r="D632" s="22"/>
      <c r="E632" s="22"/>
      <c r="F632" s="22"/>
    </row>
    <row r="633" spans="1:6" ht="15.75" x14ac:dyDescent="0.25">
      <c r="A633" s="251" t="s">
        <v>180</v>
      </c>
      <c r="B633" s="252"/>
      <c r="C633" s="65">
        <f>+D618</f>
        <v>1</v>
      </c>
      <c r="D633" s="66" t="s">
        <v>177</v>
      </c>
      <c r="E633" s="41">
        <v>63.5</v>
      </c>
      <c r="F633" s="41">
        <f t="shared" ref="F633:F638" si="39">+TRUNC(ROUND(E633*C633,2),2)</f>
        <v>63.5</v>
      </c>
    </row>
    <row r="634" spans="1:6" ht="15.75" x14ac:dyDescent="0.25">
      <c r="A634" s="236" t="s">
        <v>181</v>
      </c>
      <c r="B634" s="237"/>
      <c r="C634" s="28">
        <v>5</v>
      </c>
      <c r="D634" s="27" t="s">
        <v>169</v>
      </c>
      <c r="E634" s="26"/>
      <c r="F634" s="26">
        <f t="shared" si="39"/>
        <v>0</v>
      </c>
    </row>
    <row r="635" spans="1:6" ht="15.75" x14ac:dyDescent="0.25">
      <c r="A635" s="236"/>
      <c r="B635" s="237"/>
      <c r="C635" s="28"/>
      <c r="D635" s="27"/>
      <c r="E635" s="26"/>
      <c r="F635" s="26">
        <f t="shared" si="39"/>
        <v>0</v>
      </c>
    </row>
    <row r="636" spans="1:6" ht="15.75" x14ac:dyDescent="0.25">
      <c r="A636" s="236"/>
      <c r="B636" s="237"/>
      <c r="C636" s="28"/>
      <c r="D636" s="27"/>
      <c r="E636" s="26"/>
      <c r="F636" s="26">
        <f t="shared" si="39"/>
        <v>0</v>
      </c>
    </row>
    <row r="637" spans="1:6" ht="15.75" x14ac:dyDescent="0.25">
      <c r="A637" s="236"/>
      <c r="B637" s="237"/>
      <c r="C637" s="28"/>
      <c r="D637" s="27"/>
      <c r="E637" s="26"/>
      <c r="F637" s="26">
        <f t="shared" si="39"/>
        <v>0</v>
      </c>
    </row>
    <row r="638" spans="1:6" ht="15.75" x14ac:dyDescent="0.25">
      <c r="A638" s="236"/>
      <c r="B638" s="237"/>
      <c r="C638" s="28"/>
      <c r="D638" s="27"/>
      <c r="E638" s="26"/>
      <c r="F638" s="26">
        <f t="shared" si="39"/>
        <v>0</v>
      </c>
    </row>
    <row r="639" spans="1:6" ht="15.75" x14ac:dyDescent="0.25">
      <c r="A639" s="29"/>
      <c r="B639" s="30"/>
      <c r="C639" s="238" t="s">
        <v>96</v>
      </c>
      <c r="D639" s="239"/>
      <c r="E639" s="240"/>
      <c r="F639" s="26">
        <f>SUM(F633:F638)</f>
        <v>63.5</v>
      </c>
    </row>
    <row r="640" spans="1:6" ht="15.75" x14ac:dyDescent="0.25">
      <c r="A640" s="31"/>
      <c r="B640" s="68" t="s">
        <v>17</v>
      </c>
      <c r="C640" s="33">
        <f>+AYUDANTE</f>
        <v>40</v>
      </c>
      <c r="D640" s="27" t="s">
        <v>97</v>
      </c>
      <c r="E640" s="26"/>
      <c r="F640" s="23">
        <f>+TRUNC(ROUND(E640*C640,2),2)/100</f>
        <v>0</v>
      </c>
    </row>
    <row r="641" spans="1:8" ht="15.75" x14ac:dyDescent="0.25">
      <c r="A641" s="34"/>
      <c r="B641" s="35" t="s">
        <v>18</v>
      </c>
      <c r="C641" s="36">
        <f>+PRESTACIONES</f>
        <v>40</v>
      </c>
      <c r="D641" s="37" t="s">
        <v>97</v>
      </c>
      <c r="E641" s="38"/>
      <c r="F641" s="38">
        <f>+TRUNC(ROUND(E641*C641,2),2)/100</f>
        <v>0</v>
      </c>
    </row>
    <row r="642" spans="1:8" ht="15.75" x14ac:dyDescent="0.25">
      <c r="A642" s="39"/>
      <c r="B642" s="241" t="s">
        <v>16</v>
      </c>
      <c r="C642" s="241"/>
      <c r="D642" s="242"/>
      <c r="E642" s="40"/>
      <c r="F642" s="41">
        <f>+F641+F640+F639</f>
        <v>63.5</v>
      </c>
    </row>
    <row r="643" spans="1:8" ht="15" customHeight="1" x14ac:dyDescent="0.25">
      <c r="A643" s="22"/>
      <c r="B643" s="22"/>
      <c r="C643" s="22"/>
      <c r="D643" s="234" t="s">
        <v>98</v>
      </c>
      <c r="E643" s="235"/>
      <c r="F643" s="42">
        <f>+F642+F631</f>
        <v>63.5</v>
      </c>
      <c r="G643" s="17">
        <f>+F643</f>
        <v>63.5</v>
      </c>
      <c r="H643" s="17">
        <f>+F631+F642+F645</f>
        <v>88.9</v>
      </c>
    </row>
    <row r="644" spans="1:8" ht="17.25" customHeight="1" x14ac:dyDescent="0.25">
      <c r="A644" s="22"/>
      <c r="B644" s="22"/>
      <c r="C644" s="22"/>
      <c r="D644" s="234" t="s">
        <v>99</v>
      </c>
      <c r="E644" s="235"/>
      <c r="F644" s="43">
        <f>+TRUNC(ROUND(F643/D618,2),2)</f>
        <v>63.5</v>
      </c>
      <c r="H644" s="18"/>
    </row>
    <row r="645" spans="1:8" ht="16.5" customHeight="1" x14ac:dyDescent="0.25">
      <c r="A645" s="22"/>
      <c r="B645" s="22"/>
      <c r="C645" s="22"/>
      <c r="D645" s="234" t="s">
        <v>100</v>
      </c>
      <c r="E645" s="235"/>
      <c r="F645" s="42">
        <f>+F644*INDIRECTOS</f>
        <v>25.400000000000002</v>
      </c>
      <c r="H645" s="17"/>
    </row>
    <row r="646" spans="1:8" ht="15.75" customHeight="1" x14ac:dyDescent="0.25">
      <c r="A646" s="22"/>
      <c r="B646" s="22"/>
      <c r="C646" s="22"/>
      <c r="D646" s="234" t="s">
        <v>101</v>
      </c>
      <c r="E646" s="235"/>
      <c r="F646" s="44">
        <f>+F645+F644</f>
        <v>88.9</v>
      </c>
    </row>
    <row r="647" spans="1:8" ht="15.75" customHeight="1" x14ac:dyDescent="0.25">
      <c r="A647" s="22"/>
      <c r="B647" s="22"/>
      <c r="C647" s="22"/>
      <c r="D647" s="63"/>
      <c r="E647" s="63"/>
      <c r="F647" s="64"/>
    </row>
    <row r="648" spans="1:8" ht="15.75" customHeight="1" x14ac:dyDescent="0.25">
      <c r="A648" s="22"/>
      <c r="B648" s="22"/>
      <c r="C648" s="22"/>
      <c r="D648" s="63"/>
      <c r="E648" s="63"/>
      <c r="F648" s="64"/>
    </row>
    <row r="649" spans="1:8" ht="67.5" customHeight="1" x14ac:dyDescent="0.25">
      <c r="A649" s="45" t="s">
        <v>2</v>
      </c>
      <c r="B649" s="69">
        <v>10</v>
      </c>
      <c r="C649" s="46" t="s">
        <v>3</v>
      </c>
      <c r="D649" s="47" t="s">
        <v>11</v>
      </c>
      <c r="E649" s="48" t="s">
        <v>5</v>
      </c>
      <c r="F649" s="91" t="str">
        <f>F617</f>
        <v>CASA RUDY MAEDA</v>
      </c>
    </row>
    <row r="650" spans="1:8" ht="75" customHeight="1" x14ac:dyDescent="0.25">
      <c r="A650" s="49" t="s">
        <v>0</v>
      </c>
      <c r="B650" s="83" t="s">
        <v>122</v>
      </c>
      <c r="C650" s="50" t="s">
        <v>4</v>
      </c>
      <c r="D650" s="85">
        <v>1</v>
      </c>
      <c r="E650" s="51" t="s">
        <v>7</v>
      </c>
      <c r="F650" s="21" t="str">
        <f>F618</f>
        <v>ALDEA EL TULE</v>
      </c>
    </row>
    <row r="651" spans="1:8" ht="15.75" x14ac:dyDescent="0.25">
      <c r="A651" s="52" t="s">
        <v>1</v>
      </c>
      <c r="B651" s="70">
        <v>10.1</v>
      </c>
      <c r="C651" s="53"/>
      <c r="D651" s="54"/>
      <c r="E651" s="55" t="s">
        <v>6</v>
      </c>
      <c r="F651" s="56">
        <f>F619</f>
        <v>42436</v>
      </c>
    </row>
    <row r="652" spans="1:8" ht="15.75" x14ac:dyDescent="0.25">
      <c r="A652" s="57"/>
      <c r="B652" s="57"/>
      <c r="C652" s="57"/>
      <c r="D652" s="57"/>
      <c r="E652" s="57"/>
      <c r="F652" s="57"/>
    </row>
    <row r="653" spans="1:8" ht="28.5" x14ac:dyDescent="0.25">
      <c r="A653" s="243" t="s">
        <v>9</v>
      </c>
      <c r="B653" s="244"/>
      <c r="C653" s="67" t="s">
        <v>10</v>
      </c>
      <c r="D653" s="59" t="s">
        <v>11</v>
      </c>
      <c r="E653" s="60" t="s">
        <v>12</v>
      </c>
      <c r="F653" s="61" t="s">
        <v>13</v>
      </c>
    </row>
    <row r="654" spans="1:8" ht="15.75" x14ac:dyDescent="0.25">
      <c r="A654" s="245" t="s">
        <v>8</v>
      </c>
      <c r="B654" s="246"/>
      <c r="C654" s="22"/>
      <c r="D654" s="22"/>
      <c r="E654" s="22"/>
      <c r="F654" s="22"/>
    </row>
    <row r="655" spans="1:8" ht="15.75" x14ac:dyDescent="0.25">
      <c r="A655" s="247" t="s">
        <v>182</v>
      </c>
      <c r="B655" s="248"/>
      <c r="C655" s="23"/>
      <c r="D655" s="24"/>
      <c r="E655" s="25">
        <v>250</v>
      </c>
      <c r="F655" s="23">
        <f t="shared" ref="F655:F662" si="40">+TRUNC(ROUND(E655*C655,2),2)</f>
        <v>0</v>
      </c>
    </row>
    <row r="656" spans="1:8" ht="15.75" x14ac:dyDescent="0.25">
      <c r="A656" s="236"/>
      <c r="B656" s="237"/>
      <c r="C656" s="26"/>
      <c r="D656" s="27"/>
      <c r="E656" s="28"/>
      <c r="F656" s="26">
        <f t="shared" si="40"/>
        <v>0</v>
      </c>
    </row>
    <row r="657" spans="1:6" ht="15.75" x14ac:dyDescent="0.25">
      <c r="A657" s="236"/>
      <c r="B657" s="237"/>
      <c r="C657" s="26"/>
      <c r="D657" s="27"/>
      <c r="E657" s="28"/>
      <c r="F657" s="26">
        <f t="shared" si="40"/>
        <v>0</v>
      </c>
    </row>
    <row r="658" spans="1:6" ht="15.75" x14ac:dyDescent="0.25">
      <c r="A658" s="236"/>
      <c r="B658" s="237"/>
      <c r="C658" s="26"/>
      <c r="D658" s="27"/>
      <c r="E658" s="28"/>
      <c r="F658" s="26">
        <f t="shared" si="40"/>
        <v>0</v>
      </c>
    </row>
    <row r="659" spans="1:6" ht="15.75" x14ac:dyDescent="0.25">
      <c r="A659" s="236"/>
      <c r="B659" s="237"/>
      <c r="C659" s="26"/>
      <c r="D659" s="27"/>
      <c r="E659" s="28"/>
      <c r="F659" s="26">
        <f t="shared" si="40"/>
        <v>0</v>
      </c>
    </row>
    <row r="660" spans="1:6" ht="15.75" x14ac:dyDescent="0.25">
      <c r="A660" s="236"/>
      <c r="B660" s="237"/>
      <c r="C660" s="26"/>
      <c r="D660" s="27"/>
      <c r="E660" s="28"/>
      <c r="F660" s="26">
        <f t="shared" si="40"/>
        <v>0</v>
      </c>
    </row>
    <row r="661" spans="1:6" ht="15.75" x14ac:dyDescent="0.25">
      <c r="A661" s="236"/>
      <c r="B661" s="237"/>
      <c r="C661" s="26"/>
      <c r="D661" s="27"/>
      <c r="E661" s="28"/>
      <c r="F661" s="26">
        <f t="shared" si="40"/>
        <v>0</v>
      </c>
    </row>
    <row r="662" spans="1:6" ht="15.75" x14ac:dyDescent="0.25">
      <c r="A662" s="236"/>
      <c r="B662" s="237"/>
      <c r="C662" s="26"/>
      <c r="D662" s="27"/>
      <c r="E662" s="28"/>
      <c r="F662" s="26">
        <f t="shared" si="40"/>
        <v>0</v>
      </c>
    </row>
    <row r="663" spans="1:6" ht="15.75" x14ac:dyDescent="0.25">
      <c r="A663" s="39"/>
      <c r="B663" s="241" t="s">
        <v>14</v>
      </c>
      <c r="C663" s="241"/>
      <c r="D663" s="241"/>
      <c r="E663" s="62"/>
      <c r="F663" s="41">
        <f>SUM(F655:F662)</f>
        <v>0</v>
      </c>
    </row>
    <row r="664" spans="1:6" ht="15.75" x14ac:dyDescent="0.25">
      <c r="A664" s="249" t="s">
        <v>15</v>
      </c>
      <c r="B664" s="250"/>
      <c r="C664" s="22"/>
      <c r="D664" s="22"/>
      <c r="E664" s="22"/>
      <c r="F664" s="22"/>
    </row>
    <row r="665" spans="1:6" ht="15.75" x14ac:dyDescent="0.25">
      <c r="A665" s="251" t="s">
        <v>183</v>
      </c>
      <c r="B665" s="252"/>
      <c r="C665" s="65">
        <f>+D650</f>
        <v>1</v>
      </c>
      <c r="D665" s="66" t="s">
        <v>169</v>
      </c>
      <c r="E665" s="41">
        <v>200</v>
      </c>
      <c r="F665" s="41">
        <f t="shared" ref="F665:F670" si="41">+TRUNC(ROUND(E665*C665,2),2)</f>
        <v>200</v>
      </c>
    </row>
    <row r="666" spans="1:6" ht="15.75" x14ac:dyDescent="0.25">
      <c r="A666" s="236"/>
      <c r="B666" s="237"/>
      <c r="C666" s="28"/>
      <c r="D666" s="27"/>
      <c r="E666" s="26"/>
      <c r="F666" s="26">
        <f t="shared" si="41"/>
        <v>0</v>
      </c>
    </row>
    <row r="667" spans="1:6" ht="15.75" x14ac:dyDescent="0.25">
      <c r="A667" s="236"/>
      <c r="B667" s="237"/>
      <c r="C667" s="28"/>
      <c r="D667" s="27"/>
      <c r="E667" s="26"/>
      <c r="F667" s="26">
        <f t="shared" si="41"/>
        <v>0</v>
      </c>
    </row>
    <row r="668" spans="1:6" ht="15.75" x14ac:dyDescent="0.25">
      <c r="A668" s="236"/>
      <c r="B668" s="237"/>
      <c r="C668" s="28"/>
      <c r="D668" s="27"/>
      <c r="E668" s="26"/>
      <c r="F668" s="26">
        <f t="shared" si="41"/>
        <v>0</v>
      </c>
    </row>
    <row r="669" spans="1:6" ht="15.75" x14ac:dyDescent="0.25">
      <c r="A669" s="236"/>
      <c r="B669" s="237"/>
      <c r="C669" s="28"/>
      <c r="D669" s="27"/>
      <c r="E669" s="26"/>
      <c r="F669" s="26">
        <f t="shared" si="41"/>
        <v>0</v>
      </c>
    </row>
    <row r="670" spans="1:6" ht="15.75" x14ac:dyDescent="0.25">
      <c r="A670" s="236"/>
      <c r="B670" s="237"/>
      <c r="C670" s="28"/>
      <c r="D670" s="27"/>
      <c r="E670" s="26"/>
      <c r="F670" s="26">
        <f t="shared" si="41"/>
        <v>0</v>
      </c>
    </row>
    <row r="671" spans="1:6" ht="15.75" x14ac:dyDescent="0.25">
      <c r="A671" s="29"/>
      <c r="B671" s="30"/>
      <c r="C671" s="238" t="s">
        <v>96</v>
      </c>
      <c r="D671" s="239"/>
      <c r="E671" s="240"/>
      <c r="F671" s="26">
        <f>SUM(F665:F670)</f>
        <v>200</v>
      </c>
    </row>
    <row r="672" spans="1:6" ht="15.75" x14ac:dyDescent="0.25">
      <c r="A672" s="31"/>
      <c r="B672" s="68" t="s">
        <v>17</v>
      </c>
      <c r="C672" s="33">
        <f>+AYUDANTE</f>
        <v>40</v>
      </c>
      <c r="D672" s="27" t="s">
        <v>97</v>
      </c>
      <c r="E672" s="26"/>
      <c r="F672" s="23">
        <f>+TRUNC(ROUND(E672*C672,2),2)/100</f>
        <v>0</v>
      </c>
    </row>
    <row r="673" spans="1:8" ht="15.75" x14ac:dyDescent="0.25">
      <c r="A673" s="34"/>
      <c r="B673" s="35" t="s">
        <v>18</v>
      </c>
      <c r="C673" s="36">
        <f>+PRESTACIONES</f>
        <v>40</v>
      </c>
      <c r="D673" s="37" t="s">
        <v>97</v>
      </c>
      <c r="E673" s="38"/>
      <c r="F673" s="38">
        <f>+TRUNC(ROUND(E673*C673,2),2)/100</f>
        <v>0</v>
      </c>
    </row>
    <row r="674" spans="1:8" ht="15.75" x14ac:dyDescent="0.25">
      <c r="A674" s="39"/>
      <c r="B674" s="241" t="s">
        <v>16</v>
      </c>
      <c r="C674" s="241"/>
      <c r="D674" s="242"/>
      <c r="E674" s="40"/>
      <c r="F674" s="41">
        <f>+F673+F672+F671</f>
        <v>200</v>
      </c>
    </row>
    <row r="675" spans="1:8" ht="15" customHeight="1" x14ac:dyDescent="0.25">
      <c r="A675" s="22"/>
      <c r="B675" s="22"/>
      <c r="C675" s="22"/>
      <c r="D675" s="234" t="s">
        <v>98</v>
      </c>
      <c r="E675" s="235"/>
      <c r="F675" s="42">
        <f>+F674+F663</f>
        <v>200</v>
      </c>
      <c r="G675" s="17">
        <f>+F675</f>
        <v>200</v>
      </c>
      <c r="H675" s="17">
        <f>+F663+F674+F677</f>
        <v>280</v>
      </c>
    </row>
    <row r="676" spans="1:8" ht="17.25" customHeight="1" x14ac:dyDescent="0.25">
      <c r="A676" s="22"/>
      <c r="B676" s="22"/>
      <c r="C676" s="22"/>
      <c r="D676" s="234" t="s">
        <v>99</v>
      </c>
      <c r="E676" s="235"/>
      <c r="F676" s="43">
        <f>+TRUNC(ROUND(F675/D650,2),2)</f>
        <v>200</v>
      </c>
      <c r="H676" s="18"/>
    </row>
    <row r="677" spans="1:8" ht="16.5" customHeight="1" x14ac:dyDescent="0.25">
      <c r="A677" s="22"/>
      <c r="B677" s="22"/>
      <c r="C677" s="22"/>
      <c r="D677" s="234" t="s">
        <v>100</v>
      </c>
      <c r="E677" s="235"/>
      <c r="F677" s="42">
        <f>+F676*INDIRECTOS</f>
        <v>80</v>
      </c>
      <c r="H677" s="17"/>
    </row>
    <row r="678" spans="1:8" ht="15.75" customHeight="1" x14ac:dyDescent="0.25">
      <c r="A678" s="22"/>
      <c r="B678" s="22"/>
      <c r="C678" s="22"/>
      <c r="D678" s="234" t="s">
        <v>101</v>
      </c>
      <c r="E678" s="235"/>
      <c r="F678" s="44">
        <f>+F677+F676</f>
        <v>280</v>
      </c>
    </row>
    <row r="679" spans="1:8" ht="15.75" customHeight="1" x14ac:dyDescent="0.25">
      <c r="A679" s="22"/>
      <c r="B679" s="22"/>
      <c r="C679" s="22"/>
      <c r="D679" s="63"/>
      <c r="E679" s="63"/>
      <c r="F679" s="64"/>
    </row>
    <row r="680" spans="1:8" ht="67.5" customHeight="1" x14ac:dyDescent="0.25">
      <c r="A680" s="45" t="s">
        <v>2</v>
      </c>
      <c r="B680" s="69">
        <v>10</v>
      </c>
      <c r="C680" s="46" t="s">
        <v>3</v>
      </c>
      <c r="D680" s="47" t="s">
        <v>11</v>
      </c>
      <c r="E680" s="48" t="s">
        <v>5</v>
      </c>
      <c r="F680" s="91" t="str">
        <f>F649</f>
        <v>CASA RUDY MAEDA</v>
      </c>
    </row>
    <row r="681" spans="1:8" ht="75" customHeight="1" x14ac:dyDescent="0.25">
      <c r="A681" s="49" t="s">
        <v>0</v>
      </c>
      <c r="B681" s="83" t="s">
        <v>121</v>
      </c>
      <c r="C681" s="50" t="s">
        <v>4</v>
      </c>
      <c r="D681" s="85">
        <v>1</v>
      </c>
      <c r="E681" s="51" t="s">
        <v>7</v>
      </c>
      <c r="F681" s="21" t="str">
        <f>F650</f>
        <v>ALDEA EL TULE</v>
      </c>
    </row>
    <row r="682" spans="1:8" ht="15.75" x14ac:dyDescent="0.25">
      <c r="A682" s="52" t="s">
        <v>1</v>
      </c>
      <c r="B682" s="70">
        <v>10.199999999999999</v>
      </c>
      <c r="C682" s="53"/>
      <c r="D682" s="54"/>
      <c r="E682" s="55" t="s">
        <v>6</v>
      </c>
      <c r="F682" s="56">
        <f>+F651</f>
        <v>42436</v>
      </c>
    </row>
    <row r="683" spans="1:8" ht="15.75" x14ac:dyDescent="0.25">
      <c r="A683" s="57"/>
      <c r="B683" s="57"/>
      <c r="C683" s="57"/>
      <c r="D683" s="57"/>
      <c r="E683" s="57"/>
      <c r="F683" s="57"/>
    </row>
    <row r="684" spans="1:8" ht="28.5" x14ac:dyDescent="0.25">
      <c r="A684" s="243" t="s">
        <v>9</v>
      </c>
      <c r="B684" s="244"/>
      <c r="C684" s="67" t="s">
        <v>10</v>
      </c>
      <c r="D684" s="59" t="s">
        <v>11</v>
      </c>
      <c r="E684" s="60" t="s">
        <v>12</v>
      </c>
      <c r="F684" s="61" t="s">
        <v>13</v>
      </c>
    </row>
    <row r="685" spans="1:8" ht="15.75" x14ac:dyDescent="0.25">
      <c r="A685" s="245" t="s">
        <v>8</v>
      </c>
      <c r="B685" s="246"/>
      <c r="C685" s="22"/>
      <c r="D685" s="22"/>
      <c r="E685" s="22"/>
      <c r="F685" s="22"/>
    </row>
    <row r="686" spans="1:8" ht="15.75" x14ac:dyDescent="0.25">
      <c r="A686" s="247" t="s">
        <v>184</v>
      </c>
      <c r="B686" s="248"/>
      <c r="C686" s="23">
        <v>1</v>
      </c>
      <c r="D686" s="24" t="s">
        <v>169</v>
      </c>
      <c r="E686" s="25"/>
      <c r="F686" s="23">
        <f t="shared" ref="F686:F693" si="42">+TRUNC(ROUND(E686*C686,2),2)</f>
        <v>0</v>
      </c>
    </row>
    <row r="687" spans="1:8" ht="15.75" x14ac:dyDescent="0.25">
      <c r="A687" s="236"/>
      <c r="B687" s="237"/>
      <c r="C687" s="26"/>
      <c r="D687" s="27"/>
      <c r="E687" s="28"/>
      <c r="F687" s="26">
        <f t="shared" si="42"/>
        <v>0</v>
      </c>
    </row>
    <row r="688" spans="1:8" ht="15.75" x14ac:dyDescent="0.25">
      <c r="A688" s="236"/>
      <c r="B688" s="237"/>
      <c r="C688" s="26"/>
      <c r="D688" s="27"/>
      <c r="E688" s="28"/>
      <c r="F688" s="26">
        <f t="shared" si="42"/>
        <v>0</v>
      </c>
    </row>
    <row r="689" spans="1:6" ht="15.75" x14ac:dyDescent="0.25">
      <c r="A689" s="236"/>
      <c r="B689" s="237"/>
      <c r="C689" s="26"/>
      <c r="D689" s="27"/>
      <c r="E689" s="28"/>
      <c r="F689" s="26">
        <f t="shared" si="42"/>
        <v>0</v>
      </c>
    </row>
    <row r="690" spans="1:6" ht="15.75" x14ac:dyDescent="0.25">
      <c r="A690" s="236"/>
      <c r="B690" s="237"/>
      <c r="C690" s="26"/>
      <c r="D690" s="27"/>
      <c r="E690" s="28"/>
      <c r="F690" s="26">
        <f t="shared" si="42"/>
        <v>0</v>
      </c>
    </row>
    <row r="691" spans="1:6" ht="15.75" x14ac:dyDescent="0.25">
      <c r="A691" s="236"/>
      <c r="B691" s="237"/>
      <c r="C691" s="26"/>
      <c r="D691" s="27"/>
      <c r="E691" s="28"/>
      <c r="F691" s="26">
        <f t="shared" si="42"/>
        <v>0</v>
      </c>
    </row>
    <row r="692" spans="1:6" ht="15.75" x14ac:dyDescent="0.25">
      <c r="A692" s="236"/>
      <c r="B692" s="237"/>
      <c r="C692" s="26"/>
      <c r="D692" s="27"/>
      <c r="E692" s="28"/>
      <c r="F692" s="26">
        <f t="shared" si="42"/>
        <v>0</v>
      </c>
    </row>
    <row r="693" spans="1:6" ht="15.75" x14ac:dyDescent="0.25">
      <c r="A693" s="236"/>
      <c r="B693" s="237"/>
      <c r="C693" s="26"/>
      <c r="D693" s="27"/>
      <c r="E693" s="28"/>
      <c r="F693" s="26">
        <f t="shared" si="42"/>
        <v>0</v>
      </c>
    </row>
    <row r="694" spans="1:6" ht="15.75" x14ac:dyDescent="0.25">
      <c r="A694" s="39"/>
      <c r="B694" s="241" t="s">
        <v>14</v>
      </c>
      <c r="C694" s="241"/>
      <c r="D694" s="241"/>
      <c r="E694" s="62"/>
      <c r="F694" s="41">
        <f>SUM(F686:F693)</f>
        <v>0</v>
      </c>
    </row>
    <row r="695" spans="1:6" ht="15.75" x14ac:dyDescent="0.25">
      <c r="A695" s="249" t="s">
        <v>15</v>
      </c>
      <c r="B695" s="250"/>
      <c r="C695" s="22"/>
      <c r="D695" s="22"/>
      <c r="E695" s="22"/>
      <c r="F695" s="22"/>
    </row>
    <row r="696" spans="1:6" ht="15.75" x14ac:dyDescent="0.25">
      <c r="A696" s="251" t="s">
        <v>185</v>
      </c>
      <c r="B696" s="252"/>
      <c r="C696" s="65">
        <f>+D681</f>
        <v>1</v>
      </c>
      <c r="D696" s="66" t="s">
        <v>169</v>
      </c>
      <c r="E696" s="41">
        <v>250</v>
      </c>
      <c r="F696" s="41">
        <f t="shared" ref="F696:F701" si="43">+TRUNC(ROUND(E696*C696,2),2)</f>
        <v>250</v>
      </c>
    </row>
    <row r="697" spans="1:6" ht="15.75" x14ac:dyDescent="0.25">
      <c r="A697" s="236"/>
      <c r="B697" s="237"/>
      <c r="C697" s="28"/>
      <c r="D697" s="27"/>
      <c r="E697" s="26"/>
      <c r="F697" s="26">
        <f t="shared" si="43"/>
        <v>0</v>
      </c>
    </row>
    <row r="698" spans="1:6" ht="15.75" x14ac:dyDescent="0.25">
      <c r="A698" s="236"/>
      <c r="B698" s="237"/>
      <c r="C698" s="28"/>
      <c r="D698" s="27"/>
      <c r="E698" s="26"/>
      <c r="F698" s="26">
        <f t="shared" si="43"/>
        <v>0</v>
      </c>
    </row>
    <row r="699" spans="1:6" ht="15.75" x14ac:dyDescent="0.25">
      <c r="A699" s="236"/>
      <c r="B699" s="237"/>
      <c r="C699" s="28"/>
      <c r="D699" s="27"/>
      <c r="E699" s="26"/>
      <c r="F699" s="26">
        <f t="shared" si="43"/>
        <v>0</v>
      </c>
    </row>
    <row r="700" spans="1:6" ht="15.75" x14ac:dyDescent="0.25">
      <c r="A700" s="236"/>
      <c r="B700" s="237"/>
      <c r="C700" s="28"/>
      <c r="D700" s="27"/>
      <c r="E700" s="26"/>
      <c r="F700" s="26">
        <f t="shared" si="43"/>
        <v>0</v>
      </c>
    </row>
    <row r="701" spans="1:6" ht="15.75" x14ac:dyDescent="0.25">
      <c r="A701" s="236"/>
      <c r="B701" s="237"/>
      <c r="C701" s="28"/>
      <c r="D701" s="27"/>
      <c r="E701" s="26"/>
      <c r="F701" s="26">
        <f t="shared" si="43"/>
        <v>0</v>
      </c>
    </row>
    <row r="702" spans="1:6" ht="15.75" x14ac:dyDescent="0.25">
      <c r="A702" s="29"/>
      <c r="B702" s="30"/>
      <c r="C702" s="238" t="s">
        <v>96</v>
      </c>
      <c r="D702" s="239"/>
      <c r="E702" s="240"/>
      <c r="F702" s="26">
        <f>SUM(F696:F701)</f>
        <v>250</v>
      </c>
    </row>
    <row r="703" spans="1:6" ht="15.75" x14ac:dyDescent="0.25">
      <c r="A703" s="31"/>
      <c r="B703" s="68" t="s">
        <v>17</v>
      </c>
      <c r="C703" s="33">
        <f>+AYUDANTE</f>
        <v>40</v>
      </c>
      <c r="D703" s="27" t="s">
        <v>97</v>
      </c>
      <c r="E703" s="26"/>
      <c r="F703" s="23">
        <f>+TRUNC(ROUND(E703*C703,2),2)/100</f>
        <v>0</v>
      </c>
    </row>
    <row r="704" spans="1:6" ht="15.75" x14ac:dyDescent="0.25">
      <c r="A704" s="34"/>
      <c r="B704" s="35" t="s">
        <v>18</v>
      </c>
      <c r="C704" s="36">
        <f>+PRESTACIONES</f>
        <v>40</v>
      </c>
      <c r="D704" s="37" t="s">
        <v>97</v>
      </c>
      <c r="E704" s="38"/>
      <c r="F704" s="38">
        <f>+TRUNC(ROUND(E704*C704,2),2)/100</f>
        <v>0</v>
      </c>
    </row>
    <row r="705" spans="1:8" ht="15.75" x14ac:dyDescent="0.25">
      <c r="A705" s="39"/>
      <c r="B705" s="241" t="s">
        <v>16</v>
      </c>
      <c r="C705" s="241"/>
      <c r="D705" s="242"/>
      <c r="E705" s="40"/>
      <c r="F705" s="41">
        <f>+F704+F703+F702</f>
        <v>250</v>
      </c>
    </row>
    <row r="706" spans="1:8" ht="15" customHeight="1" x14ac:dyDescent="0.25">
      <c r="A706" s="22"/>
      <c r="B706" s="22"/>
      <c r="C706" s="22"/>
      <c r="D706" s="234" t="s">
        <v>98</v>
      </c>
      <c r="E706" s="235"/>
      <c r="F706" s="42">
        <f>+F705+F694</f>
        <v>250</v>
      </c>
      <c r="G706" s="17">
        <f>+F706</f>
        <v>250</v>
      </c>
      <c r="H706" s="17">
        <f>+F694+F705+F708</f>
        <v>350</v>
      </c>
    </row>
    <row r="707" spans="1:8" ht="17.25" customHeight="1" x14ac:dyDescent="0.25">
      <c r="A707" s="22"/>
      <c r="B707" s="22"/>
      <c r="C707" s="22"/>
      <c r="D707" s="234" t="s">
        <v>99</v>
      </c>
      <c r="E707" s="235"/>
      <c r="F707" s="43">
        <f>+TRUNC(ROUND(F706/D681,2),2)</f>
        <v>250</v>
      </c>
      <c r="H707" s="18"/>
    </row>
    <row r="708" spans="1:8" ht="16.5" customHeight="1" x14ac:dyDescent="0.25">
      <c r="A708" s="22"/>
      <c r="B708" s="22"/>
      <c r="C708" s="22"/>
      <c r="D708" s="234" t="s">
        <v>100</v>
      </c>
      <c r="E708" s="235"/>
      <c r="F708" s="42">
        <f>+F707*INDIRECTOS</f>
        <v>100</v>
      </c>
      <c r="H708" s="17"/>
    </row>
    <row r="709" spans="1:8" ht="15.75" customHeight="1" x14ac:dyDescent="0.25">
      <c r="A709" s="22"/>
      <c r="B709" s="22"/>
      <c r="C709" s="22"/>
      <c r="D709" s="234" t="s">
        <v>101</v>
      </c>
      <c r="E709" s="235"/>
      <c r="F709" s="44">
        <f>+F708+F707</f>
        <v>350</v>
      </c>
    </row>
    <row r="710" spans="1:8" ht="15.75" customHeight="1" x14ac:dyDescent="0.25">
      <c r="A710" s="22"/>
      <c r="B710" s="22"/>
      <c r="C710" s="22"/>
      <c r="D710" s="63"/>
      <c r="E710" s="63"/>
      <c r="F710" s="64"/>
    </row>
    <row r="711" spans="1:8" ht="67.5" customHeight="1" x14ac:dyDescent="0.25">
      <c r="A711" s="45" t="s">
        <v>2</v>
      </c>
      <c r="B711" s="69">
        <v>10</v>
      </c>
      <c r="C711" s="46" t="s">
        <v>3</v>
      </c>
      <c r="D711" s="47" t="s">
        <v>11</v>
      </c>
      <c r="E711" s="48" t="s">
        <v>5</v>
      </c>
      <c r="F711" s="91" t="str">
        <f>F680</f>
        <v>CASA RUDY MAEDA</v>
      </c>
    </row>
    <row r="712" spans="1:8" ht="75" customHeight="1" x14ac:dyDescent="0.25">
      <c r="A712" s="49" t="s">
        <v>0</v>
      </c>
      <c r="B712" s="83" t="s">
        <v>116</v>
      </c>
      <c r="C712" s="50" t="s">
        <v>4</v>
      </c>
      <c r="D712" s="85">
        <v>1</v>
      </c>
      <c r="E712" s="51" t="s">
        <v>7</v>
      </c>
      <c r="F712" s="21" t="str">
        <f>F681</f>
        <v>ALDEA EL TULE</v>
      </c>
    </row>
    <row r="713" spans="1:8" ht="15.75" x14ac:dyDescent="0.25">
      <c r="A713" s="52" t="s">
        <v>1</v>
      </c>
      <c r="B713" s="70">
        <v>10.3</v>
      </c>
      <c r="C713" s="53"/>
      <c r="D713" s="54"/>
      <c r="E713" s="55" t="s">
        <v>6</v>
      </c>
      <c r="F713" s="56">
        <f>+F682</f>
        <v>42436</v>
      </c>
    </row>
    <row r="714" spans="1:8" ht="15.75" x14ac:dyDescent="0.25">
      <c r="A714" s="57"/>
      <c r="B714" s="57"/>
      <c r="C714" s="57"/>
      <c r="D714" s="57"/>
      <c r="E714" s="57"/>
      <c r="F714" s="57"/>
    </row>
    <row r="715" spans="1:8" ht="28.5" x14ac:dyDescent="0.25">
      <c r="A715" s="243" t="s">
        <v>9</v>
      </c>
      <c r="B715" s="244"/>
      <c r="C715" s="67" t="s">
        <v>10</v>
      </c>
      <c r="D715" s="59" t="s">
        <v>11</v>
      </c>
      <c r="E715" s="60" t="s">
        <v>12</v>
      </c>
      <c r="F715" s="61" t="s">
        <v>13</v>
      </c>
    </row>
    <row r="716" spans="1:8" ht="15.75" x14ac:dyDescent="0.25">
      <c r="A716" s="245" t="s">
        <v>8</v>
      </c>
      <c r="B716" s="246"/>
      <c r="C716" s="22"/>
      <c r="D716" s="22"/>
      <c r="E716" s="22"/>
      <c r="F716" s="22"/>
    </row>
    <row r="717" spans="1:8" ht="15.75" x14ac:dyDescent="0.25">
      <c r="A717" s="247" t="s">
        <v>186</v>
      </c>
      <c r="B717" s="248"/>
      <c r="C717" s="23"/>
      <c r="D717" s="24"/>
      <c r="E717" s="25"/>
      <c r="F717" s="23">
        <f t="shared" ref="F717:F724" si="44">+TRUNC(ROUND(E717*C717,2),2)</f>
        <v>0</v>
      </c>
    </row>
    <row r="718" spans="1:8" ht="15.75" x14ac:dyDescent="0.25">
      <c r="A718" s="236"/>
      <c r="B718" s="237"/>
      <c r="C718" s="26"/>
      <c r="D718" s="27"/>
      <c r="E718" s="28"/>
      <c r="F718" s="26">
        <f t="shared" si="44"/>
        <v>0</v>
      </c>
    </row>
    <row r="719" spans="1:8" ht="15.75" x14ac:dyDescent="0.25">
      <c r="A719" s="236"/>
      <c r="B719" s="237"/>
      <c r="C719" s="26"/>
      <c r="D719" s="27"/>
      <c r="E719" s="28"/>
      <c r="F719" s="26">
        <f t="shared" si="44"/>
        <v>0</v>
      </c>
    </row>
    <row r="720" spans="1:8" ht="15.75" x14ac:dyDescent="0.25">
      <c r="A720" s="236"/>
      <c r="B720" s="237"/>
      <c r="C720" s="26"/>
      <c r="D720" s="27"/>
      <c r="E720" s="28"/>
      <c r="F720" s="26">
        <f t="shared" si="44"/>
        <v>0</v>
      </c>
    </row>
    <row r="721" spans="1:6" ht="15.75" x14ac:dyDescent="0.25">
      <c r="A721" s="236"/>
      <c r="B721" s="237"/>
      <c r="C721" s="26"/>
      <c r="D721" s="27"/>
      <c r="E721" s="28"/>
      <c r="F721" s="26">
        <f t="shared" si="44"/>
        <v>0</v>
      </c>
    </row>
    <row r="722" spans="1:6" ht="15.75" x14ac:dyDescent="0.25">
      <c r="A722" s="236"/>
      <c r="B722" s="237"/>
      <c r="C722" s="26"/>
      <c r="D722" s="27"/>
      <c r="E722" s="28"/>
      <c r="F722" s="26">
        <f t="shared" si="44"/>
        <v>0</v>
      </c>
    </row>
    <row r="723" spans="1:6" ht="15.75" x14ac:dyDescent="0.25">
      <c r="A723" s="236"/>
      <c r="B723" s="237"/>
      <c r="C723" s="26"/>
      <c r="D723" s="27"/>
      <c r="E723" s="28"/>
      <c r="F723" s="26">
        <f t="shared" si="44"/>
        <v>0</v>
      </c>
    </row>
    <row r="724" spans="1:6" ht="15.75" x14ac:dyDescent="0.25">
      <c r="A724" s="236"/>
      <c r="B724" s="237"/>
      <c r="C724" s="26"/>
      <c r="D724" s="27"/>
      <c r="E724" s="28"/>
      <c r="F724" s="26">
        <f t="shared" si="44"/>
        <v>0</v>
      </c>
    </row>
    <row r="725" spans="1:6" ht="15.75" x14ac:dyDescent="0.25">
      <c r="A725" s="39"/>
      <c r="B725" s="241" t="s">
        <v>14</v>
      </c>
      <c r="C725" s="241"/>
      <c r="D725" s="241"/>
      <c r="E725" s="62"/>
      <c r="F725" s="41">
        <f>SUM(F717:F724)</f>
        <v>0</v>
      </c>
    </row>
    <row r="726" spans="1:6" ht="15.75" x14ac:dyDescent="0.25">
      <c r="A726" s="249" t="s">
        <v>15</v>
      </c>
      <c r="B726" s="250"/>
      <c r="C726" s="22"/>
      <c r="D726" s="22"/>
      <c r="E726" s="22"/>
      <c r="F726" s="22"/>
    </row>
    <row r="727" spans="1:6" ht="15.75" x14ac:dyDescent="0.25">
      <c r="A727" s="251" t="s">
        <v>187</v>
      </c>
      <c r="B727" s="252"/>
      <c r="C727" s="65">
        <f>+D712</f>
        <v>1</v>
      </c>
      <c r="D727" s="66" t="s">
        <v>169</v>
      </c>
      <c r="E727" s="41">
        <v>200</v>
      </c>
      <c r="F727" s="41">
        <f t="shared" ref="F727:F732" si="45">+TRUNC(ROUND(E727*C727,2),2)</f>
        <v>200</v>
      </c>
    </row>
    <row r="728" spans="1:6" ht="15.75" x14ac:dyDescent="0.25">
      <c r="A728" s="236"/>
      <c r="B728" s="237"/>
      <c r="C728" s="28"/>
      <c r="D728" s="27"/>
      <c r="E728" s="26"/>
      <c r="F728" s="26">
        <f t="shared" si="45"/>
        <v>0</v>
      </c>
    </row>
    <row r="729" spans="1:6" ht="15.75" x14ac:dyDescent="0.25">
      <c r="A729" s="236"/>
      <c r="B729" s="237"/>
      <c r="C729" s="28"/>
      <c r="D729" s="27"/>
      <c r="E729" s="26"/>
      <c r="F729" s="26">
        <f t="shared" si="45"/>
        <v>0</v>
      </c>
    </row>
    <row r="730" spans="1:6" ht="15.75" x14ac:dyDescent="0.25">
      <c r="A730" s="236"/>
      <c r="B730" s="237"/>
      <c r="C730" s="28"/>
      <c r="D730" s="27"/>
      <c r="E730" s="26"/>
      <c r="F730" s="26">
        <f t="shared" si="45"/>
        <v>0</v>
      </c>
    </row>
    <row r="731" spans="1:6" ht="15.75" x14ac:dyDescent="0.25">
      <c r="A731" s="236"/>
      <c r="B731" s="237"/>
      <c r="C731" s="28"/>
      <c r="D731" s="27"/>
      <c r="E731" s="26"/>
      <c r="F731" s="26">
        <f t="shared" si="45"/>
        <v>0</v>
      </c>
    </row>
    <row r="732" spans="1:6" ht="15.75" x14ac:dyDescent="0.25">
      <c r="A732" s="236"/>
      <c r="B732" s="237"/>
      <c r="C732" s="28"/>
      <c r="D732" s="27"/>
      <c r="E732" s="26"/>
      <c r="F732" s="26">
        <f t="shared" si="45"/>
        <v>0</v>
      </c>
    </row>
    <row r="733" spans="1:6" ht="15.75" x14ac:dyDescent="0.25">
      <c r="A733" s="29"/>
      <c r="B733" s="30"/>
      <c r="C733" s="238" t="s">
        <v>96</v>
      </c>
      <c r="D733" s="239"/>
      <c r="E733" s="240"/>
      <c r="F733" s="26">
        <f>SUM(F727:F732)</f>
        <v>200</v>
      </c>
    </row>
    <row r="734" spans="1:6" ht="15.75" x14ac:dyDescent="0.25">
      <c r="A734" s="31"/>
      <c r="B734" s="68" t="s">
        <v>17</v>
      </c>
      <c r="C734" s="33">
        <f>+AYUDANTE</f>
        <v>40</v>
      </c>
      <c r="D734" s="27" t="s">
        <v>97</v>
      </c>
      <c r="E734" s="26"/>
      <c r="F734" s="23">
        <f>+TRUNC(ROUND(E734*C734,2),2)/100</f>
        <v>0</v>
      </c>
    </row>
    <row r="735" spans="1:6" ht="15.75" x14ac:dyDescent="0.25">
      <c r="A735" s="34"/>
      <c r="B735" s="35" t="s">
        <v>18</v>
      </c>
      <c r="C735" s="36">
        <f>+PRESTACIONES</f>
        <v>40</v>
      </c>
      <c r="D735" s="37" t="s">
        <v>97</v>
      </c>
      <c r="E735" s="38"/>
      <c r="F735" s="38">
        <f>+TRUNC(ROUND(E735*C735,2),2)/100</f>
        <v>0</v>
      </c>
    </row>
    <row r="736" spans="1:6" ht="15.75" x14ac:dyDescent="0.25">
      <c r="A736" s="39"/>
      <c r="B736" s="241" t="s">
        <v>16</v>
      </c>
      <c r="C736" s="241"/>
      <c r="D736" s="242"/>
      <c r="E736" s="40"/>
      <c r="F736" s="41">
        <f>+F735+F734+F733</f>
        <v>200</v>
      </c>
    </row>
    <row r="737" spans="1:8" ht="15" customHeight="1" x14ac:dyDescent="0.25">
      <c r="A737" s="22"/>
      <c r="B737" s="22"/>
      <c r="C737" s="22"/>
      <c r="D737" s="234" t="s">
        <v>98</v>
      </c>
      <c r="E737" s="235"/>
      <c r="F737" s="42">
        <f>+F736+F725</f>
        <v>200</v>
      </c>
      <c r="G737" s="17">
        <f>+F737</f>
        <v>200</v>
      </c>
      <c r="H737" s="17">
        <f>+F725+F736+F739</f>
        <v>280</v>
      </c>
    </row>
    <row r="738" spans="1:8" ht="17.25" customHeight="1" x14ac:dyDescent="0.25">
      <c r="A738" s="22"/>
      <c r="B738" s="22"/>
      <c r="C738" s="22"/>
      <c r="D738" s="234" t="s">
        <v>99</v>
      </c>
      <c r="E738" s="235"/>
      <c r="F738" s="43">
        <f>+TRUNC(ROUND(F737/D712,2),2)</f>
        <v>200</v>
      </c>
      <c r="H738" s="18"/>
    </row>
    <row r="739" spans="1:8" ht="16.5" customHeight="1" x14ac:dyDescent="0.25">
      <c r="A739" s="22"/>
      <c r="B739" s="22"/>
      <c r="C739" s="22"/>
      <c r="D739" s="234" t="s">
        <v>100</v>
      </c>
      <c r="E739" s="235"/>
      <c r="F739" s="42">
        <f>+F738*INDIRECTOS</f>
        <v>80</v>
      </c>
      <c r="H739" s="17"/>
    </row>
    <row r="740" spans="1:8" ht="15.75" customHeight="1" x14ac:dyDescent="0.25">
      <c r="A740" s="22"/>
      <c r="B740" s="22"/>
      <c r="C740" s="22"/>
      <c r="D740" s="234" t="s">
        <v>101</v>
      </c>
      <c r="E740" s="235"/>
      <c r="F740" s="44">
        <f>+F739+F738</f>
        <v>280</v>
      </c>
    </row>
    <row r="741" spans="1:8" ht="15.75" customHeight="1" x14ac:dyDescent="0.25">
      <c r="A741" s="22"/>
      <c r="B741" s="22"/>
      <c r="C741" s="22"/>
      <c r="D741" s="63"/>
      <c r="E741" s="63"/>
      <c r="F741" s="64"/>
    </row>
    <row r="742" spans="1:8" ht="67.5" customHeight="1" x14ac:dyDescent="0.25">
      <c r="A742" s="45" t="s">
        <v>2</v>
      </c>
      <c r="B742" s="69">
        <v>10</v>
      </c>
      <c r="C742" s="46" t="s">
        <v>3</v>
      </c>
      <c r="D742" s="47" t="s">
        <v>11</v>
      </c>
      <c r="E742" s="48" t="s">
        <v>5</v>
      </c>
      <c r="F742" s="91" t="str">
        <f>F711</f>
        <v>CASA RUDY MAEDA</v>
      </c>
    </row>
    <row r="743" spans="1:8" ht="75" customHeight="1" x14ac:dyDescent="0.25">
      <c r="A743" s="49" t="s">
        <v>0</v>
      </c>
      <c r="B743" s="83" t="s">
        <v>117</v>
      </c>
      <c r="C743" s="50" t="s">
        <v>4</v>
      </c>
      <c r="D743" s="85">
        <v>1</v>
      </c>
      <c r="E743" s="51" t="s">
        <v>7</v>
      </c>
      <c r="F743" s="21" t="str">
        <f>F712</f>
        <v>ALDEA EL TULE</v>
      </c>
    </row>
    <row r="744" spans="1:8" ht="15.75" x14ac:dyDescent="0.25">
      <c r="A744" s="52" t="s">
        <v>1</v>
      </c>
      <c r="B744" s="70">
        <v>10.4</v>
      </c>
      <c r="C744" s="53"/>
      <c r="D744" s="54"/>
      <c r="E744" s="55" t="s">
        <v>6</v>
      </c>
      <c r="F744" s="56">
        <f>+F713</f>
        <v>42436</v>
      </c>
    </row>
    <row r="745" spans="1:8" ht="15.75" x14ac:dyDescent="0.25">
      <c r="A745" s="57"/>
      <c r="B745" s="57"/>
      <c r="C745" s="57"/>
      <c r="D745" s="57"/>
      <c r="E745" s="57"/>
      <c r="F745" s="57"/>
    </row>
    <row r="746" spans="1:8" ht="28.5" x14ac:dyDescent="0.25">
      <c r="A746" s="243" t="s">
        <v>9</v>
      </c>
      <c r="B746" s="244"/>
      <c r="C746" s="67" t="s">
        <v>10</v>
      </c>
      <c r="D746" s="59" t="s">
        <v>11</v>
      </c>
      <c r="E746" s="60" t="s">
        <v>12</v>
      </c>
      <c r="F746" s="61" t="s">
        <v>13</v>
      </c>
    </row>
    <row r="747" spans="1:8" ht="15.75" x14ac:dyDescent="0.25">
      <c r="A747" s="245" t="s">
        <v>8</v>
      </c>
      <c r="B747" s="246"/>
      <c r="C747" s="22"/>
      <c r="D747" s="22"/>
      <c r="E747" s="22"/>
      <c r="F747" s="22"/>
    </row>
    <row r="748" spans="1:8" ht="15.75" x14ac:dyDescent="0.25">
      <c r="A748" s="247"/>
      <c r="B748" s="248"/>
      <c r="C748" s="23"/>
      <c r="D748" s="24"/>
      <c r="E748" s="25"/>
      <c r="F748" s="23">
        <f t="shared" ref="F748:F755" si="46">+TRUNC(ROUND(E748*C748,2),2)</f>
        <v>0</v>
      </c>
    </row>
    <row r="749" spans="1:8" ht="15.75" x14ac:dyDescent="0.25">
      <c r="A749" s="236"/>
      <c r="B749" s="237"/>
      <c r="C749" s="26"/>
      <c r="D749" s="27"/>
      <c r="E749" s="28"/>
      <c r="F749" s="26">
        <f t="shared" si="46"/>
        <v>0</v>
      </c>
    </row>
    <row r="750" spans="1:8" ht="15.75" x14ac:dyDescent="0.25">
      <c r="A750" s="236"/>
      <c r="B750" s="237"/>
      <c r="C750" s="26"/>
      <c r="D750" s="27"/>
      <c r="E750" s="28"/>
      <c r="F750" s="26">
        <f t="shared" si="46"/>
        <v>0</v>
      </c>
    </row>
    <row r="751" spans="1:8" ht="15.75" x14ac:dyDescent="0.25">
      <c r="A751" s="236"/>
      <c r="B751" s="237"/>
      <c r="C751" s="26"/>
      <c r="D751" s="27"/>
      <c r="E751" s="28"/>
      <c r="F751" s="26">
        <f t="shared" si="46"/>
        <v>0</v>
      </c>
    </row>
    <row r="752" spans="1:8" ht="15.75" x14ac:dyDescent="0.25">
      <c r="A752" s="236"/>
      <c r="B752" s="237"/>
      <c r="C752" s="26"/>
      <c r="D752" s="27"/>
      <c r="E752" s="28"/>
      <c r="F752" s="26">
        <f t="shared" si="46"/>
        <v>0</v>
      </c>
    </row>
    <row r="753" spans="1:8" ht="15.75" x14ac:dyDescent="0.25">
      <c r="A753" s="236"/>
      <c r="B753" s="237"/>
      <c r="C753" s="26"/>
      <c r="D753" s="27"/>
      <c r="E753" s="28"/>
      <c r="F753" s="26">
        <f t="shared" si="46"/>
        <v>0</v>
      </c>
    </row>
    <row r="754" spans="1:8" ht="15.75" x14ac:dyDescent="0.25">
      <c r="A754" s="236"/>
      <c r="B754" s="237"/>
      <c r="C754" s="26"/>
      <c r="D754" s="27"/>
      <c r="E754" s="28"/>
      <c r="F754" s="26">
        <f t="shared" si="46"/>
        <v>0</v>
      </c>
    </row>
    <row r="755" spans="1:8" ht="15.75" x14ac:dyDescent="0.25">
      <c r="A755" s="236"/>
      <c r="B755" s="237"/>
      <c r="C755" s="26"/>
      <c r="D755" s="27"/>
      <c r="E755" s="28"/>
      <c r="F755" s="26">
        <f t="shared" si="46"/>
        <v>0</v>
      </c>
    </row>
    <row r="756" spans="1:8" ht="15.75" x14ac:dyDescent="0.25">
      <c r="A756" s="39"/>
      <c r="B756" s="241" t="s">
        <v>14</v>
      </c>
      <c r="C756" s="241"/>
      <c r="D756" s="241"/>
      <c r="E756" s="62"/>
      <c r="F756" s="41">
        <f>SUM(F748:F755)</f>
        <v>0</v>
      </c>
    </row>
    <row r="757" spans="1:8" ht="15.75" x14ac:dyDescent="0.25">
      <c r="A757" s="249" t="s">
        <v>15</v>
      </c>
      <c r="B757" s="250"/>
      <c r="C757" s="22"/>
      <c r="D757" s="22"/>
      <c r="E757" s="22"/>
      <c r="F757" s="22"/>
    </row>
    <row r="758" spans="1:8" ht="15.75" x14ac:dyDescent="0.25">
      <c r="A758" s="251" t="s">
        <v>105</v>
      </c>
      <c r="B758" s="252"/>
      <c r="C758" s="65">
        <f>+D743*1.32</f>
        <v>1.32</v>
      </c>
      <c r="D758" s="66" t="s">
        <v>102</v>
      </c>
      <c r="E758" s="41">
        <v>63.5</v>
      </c>
      <c r="F758" s="41">
        <f t="shared" ref="F758:F763" si="47">+TRUNC(ROUND(E758*C758,2),2)</f>
        <v>83.82</v>
      </c>
    </row>
    <row r="759" spans="1:8" ht="15.75" x14ac:dyDescent="0.25">
      <c r="A759" s="236"/>
      <c r="B759" s="237"/>
      <c r="C759" s="28"/>
      <c r="D759" s="27"/>
      <c r="E759" s="26"/>
      <c r="F759" s="26">
        <f t="shared" si="47"/>
        <v>0</v>
      </c>
    </row>
    <row r="760" spans="1:8" ht="15.75" x14ac:dyDescent="0.25">
      <c r="A760" s="236"/>
      <c r="B760" s="237"/>
      <c r="C760" s="28"/>
      <c r="D760" s="27"/>
      <c r="E760" s="26"/>
      <c r="F760" s="26">
        <f t="shared" si="47"/>
        <v>0</v>
      </c>
    </row>
    <row r="761" spans="1:8" ht="15.75" x14ac:dyDescent="0.25">
      <c r="A761" s="236"/>
      <c r="B761" s="237"/>
      <c r="C761" s="28"/>
      <c r="D761" s="27"/>
      <c r="E761" s="26"/>
      <c r="F761" s="26">
        <f t="shared" si="47"/>
        <v>0</v>
      </c>
    </row>
    <row r="762" spans="1:8" ht="15.75" x14ac:dyDescent="0.25">
      <c r="A762" s="236"/>
      <c r="B762" s="237"/>
      <c r="C762" s="28"/>
      <c r="D762" s="27"/>
      <c r="E762" s="26"/>
      <c r="F762" s="26">
        <f t="shared" si="47"/>
        <v>0</v>
      </c>
    </row>
    <row r="763" spans="1:8" ht="15.75" x14ac:dyDescent="0.25">
      <c r="A763" s="236"/>
      <c r="B763" s="237"/>
      <c r="C763" s="28"/>
      <c r="D763" s="27"/>
      <c r="E763" s="26"/>
      <c r="F763" s="26">
        <f t="shared" si="47"/>
        <v>0</v>
      </c>
    </row>
    <row r="764" spans="1:8" ht="15.75" x14ac:dyDescent="0.25">
      <c r="A764" s="29"/>
      <c r="B764" s="30"/>
      <c r="C764" s="238" t="s">
        <v>96</v>
      </c>
      <c r="D764" s="239"/>
      <c r="E764" s="240"/>
      <c r="F764" s="26">
        <f>SUM(F758:F763)</f>
        <v>83.82</v>
      </c>
    </row>
    <row r="765" spans="1:8" ht="15.75" x14ac:dyDescent="0.25">
      <c r="A765" s="31"/>
      <c r="B765" s="68" t="s">
        <v>17</v>
      </c>
      <c r="C765" s="33">
        <f>+AYUDANTE</f>
        <v>40</v>
      </c>
      <c r="D765" s="27" t="s">
        <v>97</v>
      </c>
      <c r="E765" s="26"/>
      <c r="F765" s="23">
        <f>+TRUNC(ROUND(E765*C765,2),2)/100</f>
        <v>0</v>
      </c>
    </row>
    <row r="766" spans="1:8" ht="15.75" x14ac:dyDescent="0.25">
      <c r="A766" s="34"/>
      <c r="B766" s="35" t="s">
        <v>18</v>
      </c>
      <c r="C766" s="36">
        <f>+PRESTACIONES</f>
        <v>40</v>
      </c>
      <c r="D766" s="37" t="s">
        <v>97</v>
      </c>
      <c r="E766" s="38"/>
      <c r="F766" s="38">
        <f>+TRUNC(ROUND(E766*C766,2),2)/100</f>
        <v>0</v>
      </c>
    </row>
    <row r="767" spans="1:8" ht="15.75" x14ac:dyDescent="0.25">
      <c r="A767" s="39"/>
      <c r="B767" s="241" t="s">
        <v>16</v>
      </c>
      <c r="C767" s="241"/>
      <c r="D767" s="242"/>
      <c r="E767" s="40"/>
      <c r="F767" s="41">
        <f>+F766+F765+F764</f>
        <v>83.82</v>
      </c>
    </row>
    <row r="768" spans="1:8" ht="15" customHeight="1" x14ac:dyDescent="0.25">
      <c r="A768" s="22"/>
      <c r="B768" s="22"/>
      <c r="C768" s="22"/>
      <c r="D768" s="234" t="s">
        <v>98</v>
      </c>
      <c r="E768" s="235"/>
      <c r="F768" s="42">
        <f>+F767+F756</f>
        <v>83.82</v>
      </c>
      <c r="G768" s="17">
        <f>+F768</f>
        <v>83.82</v>
      </c>
      <c r="H768" s="17">
        <f>+F756+F767+F770</f>
        <v>117.34799999999998</v>
      </c>
    </row>
    <row r="769" spans="1:8" ht="17.25" customHeight="1" x14ac:dyDescent="0.25">
      <c r="A769" s="22"/>
      <c r="B769" s="22"/>
      <c r="C769" s="22"/>
      <c r="D769" s="234" t="s">
        <v>99</v>
      </c>
      <c r="E769" s="235"/>
      <c r="F769" s="43">
        <f>+TRUNC(ROUND(F768/D743,2),2)</f>
        <v>83.82</v>
      </c>
      <c r="H769" s="18"/>
    </row>
    <row r="770" spans="1:8" ht="16.5" customHeight="1" x14ac:dyDescent="0.25">
      <c r="A770" s="22"/>
      <c r="B770" s="22"/>
      <c r="C770" s="22"/>
      <c r="D770" s="234" t="s">
        <v>100</v>
      </c>
      <c r="E770" s="235"/>
      <c r="F770" s="42">
        <f>+F769*INDIRECTOS</f>
        <v>33.527999999999999</v>
      </c>
      <c r="H770" s="17"/>
    </row>
    <row r="771" spans="1:8" ht="15.75" customHeight="1" x14ac:dyDescent="0.25">
      <c r="A771" s="22"/>
      <c r="B771" s="22"/>
      <c r="C771" s="22"/>
      <c r="D771" s="234" t="s">
        <v>101</v>
      </c>
      <c r="E771" s="235"/>
      <c r="F771" s="44">
        <f>+F770+F769</f>
        <v>117.34799999999998</v>
      </c>
    </row>
    <row r="772" spans="1:8" ht="15.75" customHeight="1" x14ac:dyDescent="0.25">
      <c r="A772" s="22"/>
      <c r="B772" s="22"/>
      <c r="C772" s="22"/>
      <c r="D772" s="63"/>
      <c r="E772" s="63"/>
      <c r="F772" s="64"/>
    </row>
    <row r="773" spans="1:8" ht="67.5" customHeight="1" x14ac:dyDescent="0.25">
      <c r="A773" s="45" t="s">
        <v>2</v>
      </c>
      <c r="B773" s="69">
        <v>10</v>
      </c>
      <c r="C773" s="46" t="s">
        <v>3</v>
      </c>
      <c r="D773" s="47" t="s">
        <v>11</v>
      </c>
      <c r="E773" s="48" t="s">
        <v>5</v>
      </c>
      <c r="F773" s="91" t="str">
        <f>F742</f>
        <v>CASA RUDY MAEDA</v>
      </c>
    </row>
    <row r="774" spans="1:8" ht="75" customHeight="1" x14ac:dyDescent="0.25">
      <c r="A774" s="49" t="s">
        <v>0</v>
      </c>
      <c r="B774" s="83" t="s">
        <v>118</v>
      </c>
      <c r="C774" s="50" t="s">
        <v>4</v>
      </c>
      <c r="D774" s="85">
        <v>1</v>
      </c>
      <c r="E774" s="51" t="s">
        <v>7</v>
      </c>
      <c r="F774" s="21" t="str">
        <f>F743</f>
        <v>ALDEA EL TULE</v>
      </c>
    </row>
    <row r="775" spans="1:8" ht="15.75" x14ac:dyDescent="0.25">
      <c r="A775" s="52" t="s">
        <v>1</v>
      </c>
      <c r="B775" s="70">
        <v>10.5</v>
      </c>
      <c r="C775" s="53"/>
      <c r="D775" s="54"/>
      <c r="E775" s="55" t="s">
        <v>6</v>
      </c>
      <c r="F775" s="56">
        <f>+F744</f>
        <v>42436</v>
      </c>
    </row>
    <row r="776" spans="1:8" ht="15.75" x14ac:dyDescent="0.25">
      <c r="A776" s="57"/>
      <c r="B776" s="57"/>
      <c r="C776" s="57"/>
      <c r="D776" s="57"/>
      <c r="E776" s="57"/>
      <c r="F776" s="57"/>
    </row>
    <row r="777" spans="1:8" ht="28.5" x14ac:dyDescent="0.25">
      <c r="A777" s="243" t="s">
        <v>9</v>
      </c>
      <c r="B777" s="244"/>
      <c r="C777" s="67" t="s">
        <v>10</v>
      </c>
      <c r="D777" s="59" t="s">
        <v>11</v>
      </c>
      <c r="E777" s="60" t="s">
        <v>12</v>
      </c>
      <c r="F777" s="61" t="s">
        <v>13</v>
      </c>
    </row>
    <row r="778" spans="1:8" ht="15.75" x14ac:dyDescent="0.25">
      <c r="A778" s="245" t="s">
        <v>8</v>
      </c>
      <c r="B778" s="246"/>
      <c r="C778" s="22"/>
      <c r="D778" s="22"/>
      <c r="E778" s="22"/>
      <c r="F778" s="22"/>
    </row>
    <row r="779" spans="1:8" ht="15.75" x14ac:dyDescent="0.25">
      <c r="A779" s="247"/>
      <c r="B779" s="248"/>
      <c r="C779" s="23"/>
      <c r="D779" s="24"/>
      <c r="E779" s="25"/>
      <c r="F779" s="23">
        <f t="shared" ref="F779:F786" si="48">+TRUNC(ROUND(E779*C779,2),2)</f>
        <v>0</v>
      </c>
    </row>
    <row r="780" spans="1:8" ht="15.75" x14ac:dyDescent="0.25">
      <c r="A780" s="236"/>
      <c r="B780" s="237"/>
      <c r="C780" s="26"/>
      <c r="D780" s="27"/>
      <c r="E780" s="28"/>
      <c r="F780" s="26">
        <f t="shared" si="48"/>
        <v>0</v>
      </c>
    </row>
    <row r="781" spans="1:8" ht="15.75" x14ac:dyDescent="0.25">
      <c r="A781" s="236"/>
      <c r="B781" s="237"/>
      <c r="C781" s="26"/>
      <c r="D781" s="27"/>
      <c r="E781" s="28"/>
      <c r="F781" s="26">
        <f t="shared" si="48"/>
        <v>0</v>
      </c>
    </row>
    <row r="782" spans="1:8" ht="15.75" x14ac:dyDescent="0.25">
      <c r="A782" s="236"/>
      <c r="B782" s="237"/>
      <c r="C782" s="26"/>
      <c r="D782" s="27"/>
      <c r="E782" s="28"/>
      <c r="F782" s="26">
        <f t="shared" si="48"/>
        <v>0</v>
      </c>
    </row>
    <row r="783" spans="1:8" ht="15.75" x14ac:dyDescent="0.25">
      <c r="A783" s="236"/>
      <c r="B783" s="237"/>
      <c r="C783" s="26"/>
      <c r="D783" s="27"/>
      <c r="E783" s="28"/>
      <c r="F783" s="26">
        <f t="shared" si="48"/>
        <v>0</v>
      </c>
    </row>
    <row r="784" spans="1:8" ht="15.75" x14ac:dyDescent="0.25">
      <c r="A784" s="236"/>
      <c r="B784" s="237"/>
      <c r="C784" s="26"/>
      <c r="D784" s="27"/>
      <c r="E784" s="28"/>
      <c r="F784" s="26">
        <f t="shared" si="48"/>
        <v>0</v>
      </c>
    </row>
    <row r="785" spans="1:8" ht="15.75" x14ac:dyDescent="0.25">
      <c r="A785" s="236"/>
      <c r="B785" s="237"/>
      <c r="C785" s="26"/>
      <c r="D785" s="27"/>
      <c r="E785" s="28"/>
      <c r="F785" s="26">
        <f t="shared" si="48"/>
        <v>0</v>
      </c>
    </row>
    <row r="786" spans="1:8" ht="15.75" x14ac:dyDescent="0.25">
      <c r="A786" s="236"/>
      <c r="B786" s="237"/>
      <c r="C786" s="26"/>
      <c r="D786" s="27"/>
      <c r="E786" s="28"/>
      <c r="F786" s="26">
        <f t="shared" si="48"/>
        <v>0</v>
      </c>
    </row>
    <row r="787" spans="1:8" ht="15.75" x14ac:dyDescent="0.25">
      <c r="A787" s="39"/>
      <c r="B787" s="241" t="s">
        <v>14</v>
      </c>
      <c r="C787" s="241"/>
      <c r="D787" s="241"/>
      <c r="E787" s="62"/>
      <c r="F787" s="41">
        <f>SUM(F779:F786)</f>
        <v>0</v>
      </c>
    </row>
    <row r="788" spans="1:8" ht="15.75" x14ac:dyDescent="0.25">
      <c r="A788" s="249" t="s">
        <v>15</v>
      </c>
      <c r="B788" s="250"/>
      <c r="C788" s="22"/>
      <c r="D788" s="22"/>
      <c r="E788" s="22"/>
      <c r="F788" s="22"/>
    </row>
    <row r="789" spans="1:8" ht="15.75" x14ac:dyDescent="0.25">
      <c r="A789" s="251" t="s">
        <v>105</v>
      </c>
      <c r="B789" s="252"/>
      <c r="C789" s="65">
        <f>+D774*1.32</f>
        <v>1.32</v>
      </c>
      <c r="D789" s="66" t="s">
        <v>102</v>
      </c>
      <c r="E789" s="41">
        <v>63.5</v>
      </c>
      <c r="F789" s="41">
        <f t="shared" ref="F789:F794" si="49">+TRUNC(ROUND(E789*C789,2),2)</f>
        <v>83.82</v>
      </c>
    </row>
    <row r="790" spans="1:8" ht="15.75" x14ac:dyDescent="0.25">
      <c r="A790" s="236"/>
      <c r="B790" s="237"/>
      <c r="C790" s="28"/>
      <c r="D790" s="27"/>
      <c r="E790" s="26"/>
      <c r="F790" s="26">
        <f t="shared" si="49"/>
        <v>0</v>
      </c>
    </row>
    <row r="791" spans="1:8" ht="15.75" x14ac:dyDescent="0.25">
      <c r="A791" s="236"/>
      <c r="B791" s="237"/>
      <c r="C791" s="28"/>
      <c r="D791" s="27"/>
      <c r="E791" s="26"/>
      <c r="F791" s="26">
        <f t="shared" si="49"/>
        <v>0</v>
      </c>
    </row>
    <row r="792" spans="1:8" ht="15.75" x14ac:dyDescent="0.25">
      <c r="A792" s="236"/>
      <c r="B792" s="237"/>
      <c r="C792" s="28"/>
      <c r="D792" s="27"/>
      <c r="E792" s="26"/>
      <c r="F792" s="26">
        <f t="shared" si="49"/>
        <v>0</v>
      </c>
    </row>
    <row r="793" spans="1:8" ht="15.75" x14ac:dyDescent="0.25">
      <c r="A793" s="236"/>
      <c r="B793" s="237"/>
      <c r="C793" s="28"/>
      <c r="D793" s="27"/>
      <c r="E793" s="26"/>
      <c r="F793" s="26">
        <f t="shared" si="49"/>
        <v>0</v>
      </c>
    </row>
    <row r="794" spans="1:8" ht="15.75" x14ac:dyDescent="0.25">
      <c r="A794" s="236"/>
      <c r="B794" s="237"/>
      <c r="C794" s="28"/>
      <c r="D794" s="27"/>
      <c r="E794" s="26"/>
      <c r="F794" s="26">
        <f t="shared" si="49"/>
        <v>0</v>
      </c>
    </row>
    <row r="795" spans="1:8" ht="15.75" x14ac:dyDescent="0.25">
      <c r="A795" s="29"/>
      <c r="B795" s="30"/>
      <c r="C795" s="238" t="s">
        <v>96</v>
      </c>
      <c r="D795" s="239"/>
      <c r="E795" s="240"/>
      <c r="F795" s="26">
        <f>SUM(F789:F794)</f>
        <v>83.82</v>
      </c>
    </row>
    <row r="796" spans="1:8" ht="15.75" x14ac:dyDescent="0.25">
      <c r="A796" s="31"/>
      <c r="B796" s="68" t="s">
        <v>17</v>
      </c>
      <c r="C796" s="33">
        <f>+AYUDANTE</f>
        <v>40</v>
      </c>
      <c r="D796" s="27" t="s">
        <v>97</v>
      </c>
      <c r="E796" s="26"/>
      <c r="F796" s="23">
        <f>+TRUNC(ROUND(E796*C796,2),2)/100</f>
        <v>0</v>
      </c>
    </row>
    <row r="797" spans="1:8" ht="15.75" x14ac:dyDescent="0.25">
      <c r="A797" s="34"/>
      <c r="B797" s="35" t="s">
        <v>18</v>
      </c>
      <c r="C797" s="36">
        <f>+PRESTACIONES</f>
        <v>40</v>
      </c>
      <c r="D797" s="37" t="s">
        <v>97</v>
      </c>
      <c r="E797" s="38"/>
      <c r="F797" s="38">
        <f>+TRUNC(ROUND(E797*C797,2),2)/100</f>
        <v>0</v>
      </c>
    </row>
    <row r="798" spans="1:8" ht="15.75" x14ac:dyDescent="0.25">
      <c r="A798" s="39"/>
      <c r="B798" s="241" t="s">
        <v>16</v>
      </c>
      <c r="C798" s="241"/>
      <c r="D798" s="242"/>
      <c r="E798" s="40"/>
      <c r="F798" s="41">
        <f>+F797+F796+F795</f>
        <v>83.82</v>
      </c>
    </row>
    <row r="799" spans="1:8" ht="15" customHeight="1" x14ac:dyDescent="0.25">
      <c r="A799" s="22"/>
      <c r="B799" s="22"/>
      <c r="C799" s="22"/>
      <c r="D799" s="234" t="s">
        <v>98</v>
      </c>
      <c r="E799" s="235"/>
      <c r="F799" s="42">
        <f>+F798+F787</f>
        <v>83.82</v>
      </c>
      <c r="G799" s="17">
        <f>+F799</f>
        <v>83.82</v>
      </c>
      <c r="H799" s="17">
        <f>+F787+F798+F801</f>
        <v>117.34799999999998</v>
      </c>
    </row>
    <row r="800" spans="1:8" ht="17.25" customHeight="1" x14ac:dyDescent="0.25">
      <c r="A800" s="22"/>
      <c r="B800" s="22"/>
      <c r="C800" s="22"/>
      <c r="D800" s="234" t="s">
        <v>99</v>
      </c>
      <c r="E800" s="235"/>
      <c r="F800" s="43">
        <f>+TRUNC(ROUND(F799/D774,2),2)</f>
        <v>83.82</v>
      </c>
      <c r="H800" s="18"/>
    </row>
    <row r="801" spans="1:8" ht="16.5" customHeight="1" x14ac:dyDescent="0.25">
      <c r="A801" s="22"/>
      <c r="B801" s="22"/>
      <c r="C801" s="22"/>
      <c r="D801" s="234" t="s">
        <v>100</v>
      </c>
      <c r="E801" s="235"/>
      <c r="F801" s="42">
        <f>+F800*INDIRECTOS</f>
        <v>33.527999999999999</v>
      </c>
      <c r="H801" s="17"/>
    </row>
    <row r="802" spans="1:8" ht="15.75" customHeight="1" x14ac:dyDescent="0.25">
      <c r="A802" s="22"/>
      <c r="B802" s="22"/>
      <c r="C802" s="22"/>
      <c r="D802" s="234" t="s">
        <v>101</v>
      </c>
      <c r="E802" s="235"/>
      <c r="F802" s="44">
        <f>+F801+F800</f>
        <v>117.34799999999998</v>
      </c>
    </row>
    <row r="803" spans="1:8" ht="15.75" customHeight="1" x14ac:dyDescent="0.25">
      <c r="A803" s="22"/>
      <c r="B803" s="22"/>
      <c r="C803" s="22"/>
      <c r="D803" s="63"/>
      <c r="E803" s="63"/>
      <c r="F803" s="64"/>
    </row>
    <row r="804" spans="1:8" ht="67.5" customHeight="1" x14ac:dyDescent="0.25">
      <c r="A804" s="45" t="s">
        <v>2</v>
      </c>
      <c r="B804" s="69">
        <v>11</v>
      </c>
      <c r="C804" s="46" t="s">
        <v>3</v>
      </c>
      <c r="D804" s="47" t="s">
        <v>107</v>
      </c>
      <c r="E804" s="48" t="s">
        <v>5</v>
      </c>
      <c r="F804" s="91" t="str">
        <f>F773</f>
        <v>CASA RUDY MAEDA</v>
      </c>
    </row>
    <row r="805" spans="1:8" ht="75" customHeight="1" x14ac:dyDescent="0.25">
      <c r="A805" s="49" t="s">
        <v>0</v>
      </c>
      <c r="B805" s="83" t="s">
        <v>236</v>
      </c>
      <c r="C805" s="50" t="s">
        <v>4</v>
      </c>
      <c r="D805" s="85">
        <v>65.95</v>
      </c>
      <c r="E805" s="51"/>
      <c r="F805" s="21" t="str">
        <f>F774</f>
        <v>ALDEA EL TULE</v>
      </c>
    </row>
    <row r="806" spans="1:8" ht="15.75" x14ac:dyDescent="0.25">
      <c r="A806" s="52" t="s">
        <v>1</v>
      </c>
      <c r="B806" s="70">
        <v>11.1</v>
      </c>
      <c r="C806" s="53"/>
      <c r="D806" s="54"/>
      <c r="E806" s="55" t="s">
        <v>6</v>
      </c>
      <c r="F806" s="56">
        <f>+F775</f>
        <v>42436</v>
      </c>
    </row>
    <row r="807" spans="1:8" ht="15.75" x14ac:dyDescent="0.25">
      <c r="A807" s="57"/>
      <c r="B807" s="57"/>
      <c r="C807" s="57"/>
      <c r="D807" s="57"/>
      <c r="E807" s="57"/>
      <c r="F807" s="57"/>
    </row>
    <row r="808" spans="1:8" ht="28.5" x14ac:dyDescent="0.25">
      <c r="A808" s="243" t="s">
        <v>9</v>
      </c>
      <c r="B808" s="244"/>
      <c r="C808" s="72" t="s">
        <v>10</v>
      </c>
      <c r="D808" s="59" t="s">
        <v>11</v>
      </c>
      <c r="E808" s="60" t="s">
        <v>12</v>
      </c>
      <c r="F808" s="61" t="s">
        <v>13</v>
      </c>
    </row>
    <row r="809" spans="1:8" ht="15.75" x14ac:dyDescent="0.25">
      <c r="A809" s="245" t="s">
        <v>8</v>
      </c>
      <c r="B809" s="246"/>
      <c r="C809" s="22"/>
      <c r="D809" s="22"/>
      <c r="E809" s="22"/>
      <c r="F809" s="22"/>
    </row>
    <row r="810" spans="1:8" ht="15.75" x14ac:dyDescent="0.25">
      <c r="A810" s="247" t="s">
        <v>237</v>
      </c>
      <c r="B810" s="248"/>
      <c r="C810" s="23">
        <f>+D805</f>
        <v>65.95</v>
      </c>
      <c r="D810" s="24" t="s">
        <v>107</v>
      </c>
      <c r="E810" s="25">
        <v>80</v>
      </c>
      <c r="F810" s="23">
        <f t="shared" ref="F810:F817" si="50">+TRUNC(ROUND(E810*C810,2),2)</f>
        <v>5276</v>
      </c>
    </row>
    <row r="811" spans="1:8" ht="15.75" x14ac:dyDescent="0.25">
      <c r="A811" s="236" t="s">
        <v>238</v>
      </c>
      <c r="B811" s="237"/>
      <c r="C811" s="26">
        <v>10</v>
      </c>
      <c r="D811" s="27" t="s">
        <v>240</v>
      </c>
      <c r="E811" s="28">
        <v>72</v>
      </c>
      <c r="F811" s="26">
        <f t="shared" si="50"/>
        <v>720</v>
      </c>
    </row>
    <row r="812" spans="1:8" ht="15.75" x14ac:dyDescent="0.25">
      <c r="A812" s="236" t="s">
        <v>239</v>
      </c>
      <c r="B812" s="237"/>
      <c r="C812" s="26">
        <v>1</v>
      </c>
      <c r="D812" s="27" t="s">
        <v>102</v>
      </c>
      <c r="E812" s="28">
        <v>130</v>
      </c>
      <c r="F812" s="26">
        <f t="shared" si="50"/>
        <v>130</v>
      </c>
    </row>
    <row r="813" spans="1:8" ht="15.75" x14ac:dyDescent="0.25">
      <c r="A813" s="236"/>
      <c r="B813" s="237"/>
      <c r="C813" s="26"/>
      <c r="D813" s="27"/>
      <c r="E813" s="28"/>
      <c r="F813" s="26">
        <f t="shared" si="50"/>
        <v>0</v>
      </c>
    </row>
    <row r="814" spans="1:8" ht="15.75" x14ac:dyDescent="0.25">
      <c r="A814" s="236"/>
      <c r="B814" s="237"/>
      <c r="C814" s="26"/>
      <c r="D814" s="27"/>
      <c r="E814" s="28"/>
      <c r="F814" s="26">
        <f t="shared" si="50"/>
        <v>0</v>
      </c>
    </row>
    <row r="815" spans="1:8" ht="15.75" x14ac:dyDescent="0.25">
      <c r="A815" s="236"/>
      <c r="B815" s="237"/>
      <c r="C815" s="26"/>
      <c r="D815" s="27"/>
      <c r="E815" s="28"/>
      <c r="F815" s="26">
        <f t="shared" si="50"/>
        <v>0</v>
      </c>
    </row>
    <row r="816" spans="1:8" ht="15.75" x14ac:dyDescent="0.25">
      <c r="A816" s="236"/>
      <c r="B816" s="237"/>
      <c r="C816" s="26"/>
      <c r="D816" s="27"/>
      <c r="E816" s="28"/>
      <c r="F816" s="26">
        <f t="shared" si="50"/>
        <v>0</v>
      </c>
    </row>
    <row r="817" spans="1:8" ht="15.75" x14ac:dyDescent="0.25">
      <c r="A817" s="236"/>
      <c r="B817" s="237"/>
      <c r="C817" s="26"/>
      <c r="D817" s="27"/>
      <c r="E817" s="28"/>
      <c r="F817" s="26">
        <f t="shared" si="50"/>
        <v>0</v>
      </c>
    </row>
    <row r="818" spans="1:8" ht="15.75" x14ac:dyDescent="0.25">
      <c r="A818" s="39"/>
      <c r="B818" s="241" t="s">
        <v>14</v>
      </c>
      <c r="C818" s="241"/>
      <c r="D818" s="241"/>
      <c r="E818" s="62"/>
      <c r="F818" s="41">
        <f>SUM(F810:F817)</f>
        <v>6126</v>
      </c>
    </row>
    <row r="819" spans="1:8" ht="15.75" x14ac:dyDescent="0.25">
      <c r="A819" s="249" t="s">
        <v>15</v>
      </c>
      <c r="B819" s="250"/>
      <c r="C819" s="22"/>
      <c r="D819" s="22"/>
      <c r="E819" s="22"/>
      <c r="F819" s="22"/>
    </row>
    <row r="820" spans="1:8" ht="15.75" x14ac:dyDescent="0.25">
      <c r="A820" s="251" t="s">
        <v>241</v>
      </c>
      <c r="B820" s="252"/>
      <c r="C820" s="65">
        <f>+D805</f>
        <v>65.95</v>
      </c>
      <c r="D820" s="66" t="s">
        <v>148</v>
      </c>
      <c r="E820" s="41">
        <v>20</v>
      </c>
      <c r="F820" s="41">
        <f t="shared" ref="F820:F825" si="51">+TRUNC(ROUND(E820*C820,2),2)</f>
        <v>1319</v>
      </c>
    </row>
    <row r="821" spans="1:8" ht="15.75" x14ac:dyDescent="0.25">
      <c r="A821" s="236"/>
      <c r="B821" s="237"/>
      <c r="C821" s="28"/>
      <c r="D821" s="27"/>
      <c r="E821" s="26"/>
      <c r="F821" s="26">
        <f t="shared" si="51"/>
        <v>0</v>
      </c>
    </row>
    <row r="822" spans="1:8" ht="15.75" x14ac:dyDescent="0.25">
      <c r="A822" s="236"/>
      <c r="B822" s="237"/>
      <c r="C822" s="28"/>
      <c r="D822" s="27"/>
      <c r="E822" s="26"/>
      <c r="F822" s="26">
        <f t="shared" si="51"/>
        <v>0</v>
      </c>
    </row>
    <row r="823" spans="1:8" ht="15.75" x14ac:dyDescent="0.25">
      <c r="A823" s="236"/>
      <c r="B823" s="237"/>
      <c r="C823" s="28"/>
      <c r="D823" s="27"/>
      <c r="E823" s="26"/>
      <c r="F823" s="26">
        <f t="shared" si="51"/>
        <v>0</v>
      </c>
    </row>
    <row r="824" spans="1:8" ht="15.75" x14ac:dyDescent="0.25">
      <c r="A824" s="236"/>
      <c r="B824" s="237"/>
      <c r="C824" s="28"/>
      <c r="D824" s="27"/>
      <c r="E824" s="26"/>
      <c r="F824" s="26">
        <f t="shared" si="51"/>
        <v>0</v>
      </c>
    </row>
    <row r="825" spans="1:8" ht="15.75" x14ac:dyDescent="0.25">
      <c r="A825" s="236"/>
      <c r="B825" s="237"/>
      <c r="C825" s="28"/>
      <c r="D825" s="27"/>
      <c r="E825" s="26"/>
      <c r="F825" s="26">
        <f t="shared" si="51"/>
        <v>0</v>
      </c>
    </row>
    <row r="826" spans="1:8" ht="15.75" x14ac:dyDescent="0.25">
      <c r="A826" s="29"/>
      <c r="B826" s="30"/>
      <c r="C826" s="238" t="s">
        <v>96</v>
      </c>
      <c r="D826" s="239"/>
      <c r="E826" s="240"/>
      <c r="F826" s="26">
        <f>SUM(F820:F825)</f>
        <v>1319</v>
      </c>
    </row>
    <row r="827" spans="1:8" ht="15.75" x14ac:dyDescent="0.25">
      <c r="A827" s="31"/>
      <c r="B827" s="71" t="s">
        <v>17</v>
      </c>
      <c r="C827" s="33">
        <f>+AYUDANTE</f>
        <v>40</v>
      </c>
      <c r="D827" s="27" t="s">
        <v>97</v>
      </c>
      <c r="E827" s="26"/>
      <c r="F827" s="23">
        <f>+TRUNC(ROUND(E827*C827,2),2)/100</f>
        <v>0</v>
      </c>
    </row>
    <row r="828" spans="1:8" ht="15.75" x14ac:dyDescent="0.25">
      <c r="A828" s="34"/>
      <c r="B828" s="35" t="s">
        <v>18</v>
      </c>
      <c r="C828" s="36">
        <f>+PRESTACIONES</f>
        <v>40</v>
      </c>
      <c r="D828" s="37" t="s">
        <v>97</v>
      </c>
      <c r="E828" s="38"/>
      <c r="F828" s="38">
        <f>+TRUNC(ROUND(E828*C828,2),2)/100</f>
        <v>0</v>
      </c>
    </row>
    <row r="829" spans="1:8" ht="15.75" x14ac:dyDescent="0.25">
      <c r="A829" s="39"/>
      <c r="B829" s="241" t="s">
        <v>16</v>
      </c>
      <c r="C829" s="241"/>
      <c r="D829" s="242"/>
      <c r="E829" s="40"/>
      <c r="F829" s="41">
        <f>+F828+F827+F826</f>
        <v>1319</v>
      </c>
    </row>
    <row r="830" spans="1:8" ht="15" customHeight="1" x14ac:dyDescent="0.25">
      <c r="A830" s="22"/>
      <c r="B830" s="22"/>
      <c r="C830" s="22"/>
      <c r="D830" s="234" t="s">
        <v>98</v>
      </c>
      <c r="E830" s="235"/>
      <c r="F830" s="42">
        <f>+F829+F818</f>
        <v>7445</v>
      </c>
      <c r="G830" s="17">
        <f>+F830</f>
        <v>7445</v>
      </c>
      <c r="H830" s="17">
        <f>+F818+F829+F832</f>
        <v>7490.1559999999999</v>
      </c>
    </row>
    <row r="831" spans="1:8" ht="17.25" customHeight="1" x14ac:dyDescent="0.25">
      <c r="A831" s="22"/>
      <c r="B831" s="22"/>
      <c r="C831" s="22"/>
      <c r="D831" s="234" t="s">
        <v>99</v>
      </c>
      <c r="E831" s="235"/>
      <c r="F831" s="43">
        <f>+TRUNC(ROUND(F830/D805,2),2)</f>
        <v>112.89</v>
      </c>
      <c r="H831" s="18"/>
    </row>
    <row r="832" spans="1:8" ht="16.5" customHeight="1" x14ac:dyDescent="0.25">
      <c r="A832" s="22"/>
      <c r="B832" s="22"/>
      <c r="C832" s="22"/>
      <c r="D832" s="234" t="s">
        <v>100</v>
      </c>
      <c r="E832" s="235"/>
      <c r="F832" s="42">
        <f>+F831*INDIRECTOS</f>
        <v>45.156000000000006</v>
      </c>
      <c r="H832" s="17"/>
    </row>
    <row r="833" spans="1:11" ht="15.75" customHeight="1" x14ac:dyDescent="0.25">
      <c r="A833" s="22"/>
      <c r="B833" s="22"/>
      <c r="C833" s="22"/>
      <c r="D833" s="234" t="s">
        <v>101</v>
      </c>
      <c r="E833" s="235"/>
      <c r="F833" s="44">
        <f>+F832+F831</f>
        <v>158.04599999999999</v>
      </c>
    </row>
    <row r="834" spans="1:11" ht="15.75" customHeight="1" x14ac:dyDescent="0.25">
      <c r="A834" s="22"/>
      <c r="B834" s="22"/>
      <c r="C834" s="22"/>
      <c r="D834" s="63"/>
      <c r="E834" s="63"/>
      <c r="F834" s="64"/>
    </row>
    <row r="835" spans="1:11" ht="15.75" customHeight="1" x14ac:dyDescent="0.25">
      <c r="A835" s="22"/>
      <c r="B835" s="22"/>
      <c r="C835" s="22"/>
      <c r="D835" s="63"/>
      <c r="E835" s="63"/>
      <c r="F835" s="64"/>
    </row>
    <row r="836" spans="1:11" ht="67.5" customHeight="1" x14ac:dyDescent="0.25">
      <c r="A836" s="45" t="s">
        <v>2</v>
      </c>
      <c r="B836" s="69">
        <v>11</v>
      </c>
      <c r="C836" s="46" t="s">
        <v>3</v>
      </c>
      <c r="D836" s="47" t="s">
        <v>107</v>
      </c>
      <c r="E836" s="48" t="s">
        <v>5</v>
      </c>
      <c r="F836" s="91" t="str">
        <f>F804</f>
        <v>CASA RUDY MAEDA</v>
      </c>
    </row>
    <row r="837" spans="1:11" ht="75" customHeight="1" x14ac:dyDescent="0.25">
      <c r="A837" s="49" t="s">
        <v>0</v>
      </c>
      <c r="B837" s="83" t="s">
        <v>119</v>
      </c>
      <c r="C837" s="50" t="s">
        <v>4</v>
      </c>
      <c r="D837" s="85">
        <v>18</v>
      </c>
      <c r="E837" s="51" t="s">
        <v>7</v>
      </c>
      <c r="F837" s="21" t="str">
        <f>F805</f>
        <v>ALDEA EL TULE</v>
      </c>
      <c r="K837">
        <v>1.62</v>
      </c>
    </row>
    <row r="838" spans="1:11" ht="15.75" x14ac:dyDescent="0.25">
      <c r="A838" s="52" t="s">
        <v>1</v>
      </c>
      <c r="B838" s="70">
        <v>11.4</v>
      </c>
      <c r="C838" s="53"/>
      <c r="D838" s="54"/>
      <c r="E838" s="55" t="s">
        <v>6</v>
      </c>
      <c r="F838" s="56">
        <f>F806</f>
        <v>42436</v>
      </c>
    </row>
    <row r="839" spans="1:11" ht="15.75" x14ac:dyDescent="0.25">
      <c r="A839" s="57"/>
      <c r="B839" s="57"/>
      <c r="C839" s="57"/>
      <c r="D839" s="57"/>
      <c r="E839" s="57"/>
      <c r="F839" s="57"/>
    </row>
    <row r="840" spans="1:11" ht="28.5" x14ac:dyDescent="0.25">
      <c r="A840" s="243" t="s">
        <v>9</v>
      </c>
      <c r="B840" s="244"/>
      <c r="C840" s="67" t="s">
        <v>10</v>
      </c>
      <c r="D840" s="59" t="s">
        <v>11</v>
      </c>
      <c r="E840" s="60" t="s">
        <v>12</v>
      </c>
      <c r="F840" s="61" t="s">
        <v>13</v>
      </c>
    </row>
    <row r="841" spans="1:11" ht="15.75" x14ac:dyDescent="0.25">
      <c r="A841" s="245" t="s">
        <v>8</v>
      </c>
      <c r="B841" s="246"/>
      <c r="C841" s="22"/>
      <c r="D841" s="22"/>
      <c r="E841" s="22"/>
      <c r="F841" s="22"/>
    </row>
    <row r="842" spans="1:11" ht="15.75" x14ac:dyDescent="0.25">
      <c r="A842" s="247" t="s">
        <v>243</v>
      </c>
      <c r="B842" s="248"/>
      <c r="C842" s="23">
        <f>+D837</f>
        <v>18</v>
      </c>
      <c r="D842" s="24" t="s">
        <v>148</v>
      </c>
      <c r="E842" s="25">
        <v>100</v>
      </c>
      <c r="F842" s="23">
        <f t="shared" ref="F842:F849" si="52">+TRUNC(ROUND(E842*C842,2),2)</f>
        <v>1800</v>
      </c>
    </row>
    <row r="843" spans="1:11" ht="15.75" x14ac:dyDescent="0.25">
      <c r="A843" s="236"/>
      <c r="B843" s="237"/>
      <c r="C843" s="26"/>
      <c r="D843" s="27"/>
      <c r="E843" s="28"/>
      <c r="F843" s="26">
        <f t="shared" si="52"/>
        <v>0</v>
      </c>
    </row>
    <row r="844" spans="1:11" ht="15.75" x14ac:dyDescent="0.25">
      <c r="A844" s="236"/>
      <c r="B844" s="237"/>
      <c r="C844" s="26"/>
      <c r="D844" s="27"/>
      <c r="E844" s="28"/>
      <c r="F844" s="26">
        <f t="shared" si="52"/>
        <v>0</v>
      </c>
    </row>
    <row r="845" spans="1:11" ht="15.75" x14ac:dyDescent="0.25">
      <c r="A845" s="236"/>
      <c r="B845" s="237"/>
      <c r="C845" s="26"/>
      <c r="D845" s="27"/>
      <c r="E845" s="28"/>
      <c r="F845" s="26">
        <f t="shared" si="52"/>
        <v>0</v>
      </c>
    </row>
    <row r="846" spans="1:11" ht="15.75" x14ac:dyDescent="0.25">
      <c r="A846" s="236"/>
      <c r="B846" s="237"/>
      <c r="C846" s="26"/>
      <c r="D846" s="27"/>
      <c r="E846" s="28"/>
      <c r="F846" s="26">
        <f t="shared" si="52"/>
        <v>0</v>
      </c>
    </row>
    <row r="847" spans="1:11" ht="15.75" x14ac:dyDescent="0.25">
      <c r="A847" s="236"/>
      <c r="B847" s="237"/>
      <c r="C847" s="26"/>
      <c r="D847" s="27"/>
      <c r="E847" s="28"/>
      <c r="F847" s="26">
        <f t="shared" si="52"/>
        <v>0</v>
      </c>
    </row>
    <row r="848" spans="1:11" ht="15.75" x14ac:dyDescent="0.25">
      <c r="A848" s="236"/>
      <c r="B848" s="237"/>
      <c r="C848" s="26"/>
      <c r="D848" s="27"/>
      <c r="E848" s="28"/>
      <c r="F848" s="26">
        <f t="shared" si="52"/>
        <v>0</v>
      </c>
    </row>
    <row r="849" spans="1:8" ht="15.75" x14ac:dyDescent="0.25">
      <c r="A849" s="236"/>
      <c r="B849" s="237"/>
      <c r="C849" s="26"/>
      <c r="D849" s="27"/>
      <c r="E849" s="28"/>
      <c r="F849" s="26">
        <f t="shared" si="52"/>
        <v>0</v>
      </c>
    </row>
    <row r="850" spans="1:8" ht="15.75" x14ac:dyDescent="0.25">
      <c r="A850" s="39"/>
      <c r="B850" s="241" t="s">
        <v>14</v>
      </c>
      <c r="C850" s="241"/>
      <c r="D850" s="241"/>
      <c r="E850" s="62"/>
      <c r="F850" s="41">
        <f>SUM(F842:F849)</f>
        <v>1800</v>
      </c>
    </row>
    <row r="851" spans="1:8" ht="15.75" x14ac:dyDescent="0.25">
      <c r="A851" s="249" t="s">
        <v>15</v>
      </c>
      <c r="B851" s="250"/>
      <c r="C851" s="22"/>
      <c r="D851" s="22"/>
      <c r="E851" s="22"/>
      <c r="F851" s="22"/>
    </row>
    <row r="852" spans="1:8" ht="15.75" x14ac:dyDescent="0.25">
      <c r="A852" s="251" t="s">
        <v>242</v>
      </c>
      <c r="B852" s="252"/>
      <c r="C852" s="65">
        <f>+D837</f>
        <v>18</v>
      </c>
      <c r="D852" s="66" t="s">
        <v>148</v>
      </c>
      <c r="E852" s="41">
        <v>20</v>
      </c>
      <c r="F852" s="41">
        <f t="shared" ref="F852:F857" si="53">+TRUNC(ROUND(E852*C852,2),2)</f>
        <v>360</v>
      </c>
    </row>
    <row r="853" spans="1:8" ht="15.75" x14ac:dyDescent="0.25">
      <c r="A853" s="236"/>
      <c r="B853" s="237"/>
      <c r="C853" s="28"/>
      <c r="D853" s="27"/>
      <c r="E853" s="26"/>
      <c r="F853" s="26">
        <f t="shared" si="53"/>
        <v>0</v>
      </c>
    </row>
    <row r="854" spans="1:8" ht="15.75" x14ac:dyDescent="0.25">
      <c r="A854" s="236"/>
      <c r="B854" s="237"/>
      <c r="C854" s="28"/>
      <c r="D854" s="27"/>
      <c r="E854" s="26"/>
      <c r="F854" s="26">
        <f t="shared" si="53"/>
        <v>0</v>
      </c>
    </row>
    <row r="855" spans="1:8" ht="15.75" x14ac:dyDescent="0.25">
      <c r="A855" s="236"/>
      <c r="B855" s="237"/>
      <c r="C855" s="28"/>
      <c r="D855" s="27"/>
      <c r="E855" s="26"/>
      <c r="F855" s="26">
        <f t="shared" si="53"/>
        <v>0</v>
      </c>
    </row>
    <row r="856" spans="1:8" ht="15.75" x14ac:dyDescent="0.25">
      <c r="A856" s="236"/>
      <c r="B856" s="237"/>
      <c r="C856" s="28"/>
      <c r="D856" s="27"/>
      <c r="E856" s="26"/>
      <c r="F856" s="26">
        <f t="shared" si="53"/>
        <v>0</v>
      </c>
    </row>
    <row r="857" spans="1:8" ht="15.75" x14ac:dyDescent="0.25">
      <c r="A857" s="236"/>
      <c r="B857" s="237"/>
      <c r="C857" s="28"/>
      <c r="D857" s="27"/>
      <c r="E857" s="26"/>
      <c r="F857" s="26">
        <f t="shared" si="53"/>
        <v>0</v>
      </c>
    </row>
    <row r="858" spans="1:8" ht="15.75" x14ac:dyDescent="0.25">
      <c r="A858" s="29"/>
      <c r="B858" s="30"/>
      <c r="C858" s="238" t="s">
        <v>96</v>
      </c>
      <c r="D858" s="239"/>
      <c r="E858" s="240"/>
      <c r="F858" s="26">
        <f>SUM(F852:F857)</f>
        <v>360</v>
      </c>
    </row>
    <row r="859" spans="1:8" ht="15.75" x14ac:dyDescent="0.25">
      <c r="A859" s="31"/>
      <c r="B859" s="68" t="s">
        <v>17</v>
      </c>
      <c r="C859" s="33">
        <f>+AYUDANTE</f>
        <v>40</v>
      </c>
      <c r="D859" s="27" t="s">
        <v>97</v>
      </c>
      <c r="E859" s="26"/>
      <c r="F859" s="23">
        <f>+TRUNC(ROUND(E859*C859,2),2)/100</f>
        <v>0</v>
      </c>
    </row>
    <row r="860" spans="1:8" ht="15.75" x14ac:dyDescent="0.25">
      <c r="A860" s="34"/>
      <c r="B860" s="35" t="s">
        <v>18</v>
      </c>
      <c r="C860" s="36">
        <f>+PRESTACIONES</f>
        <v>40</v>
      </c>
      <c r="D860" s="37" t="s">
        <v>97</v>
      </c>
      <c r="E860" s="38"/>
      <c r="F860" s="38">
        <f>+TRUNC(ROUND(E860*C860,2),2)/100</f>
        <v>0</v>
      </c>
    </row>
    <row r="861" spans="1:8" ht="15.75" x14ac:dyDescent="0.25">
      <c r="A861" s="39"/>
      <c r="B861" s="241" t="s">
        <v>16</v>
      </c>
      <c r="C861" s="241"/>
      <c r="D861" s="242"/>
      <c r="E861" s="40"/>
      <c r="F861" s="41">
        <f>+F860+F859+F858</f>
        <v>360</v>
      </c>
    </row>
    <row r="862" spans="1:8" ht="15" customHeight="1" x14ac:dyDescent="0.25">
      <c r="A862" s="22"/>
      <c r="B862" s="22"/>
      <c r="C862" s="22"/>
      <c r="D862" s="234" t="s">
        <v>98</v>
      </c>
      <c r="E862" s="235"/>
      <c r="F862" s="42">
        <f>+F861+F850</f>
        <v>2160</v>
      </c>
      <c r="G862" s="17">
        <f>+F862</f>
        <v>2160</v>
      </c>
      <c r="H862" s="17">
        <f>+F850+F861+F864</f>
        <v>2208</v>
      </c>
    </row>
    <row r="863" spans="1:8" ht="17.25" customHeight="1" x14ac:dyDescent="0.25">
      <c r="A863" s="22"/>
      <c r="B863" s="22"/>
      <c r="C863" s="22"/>
      <c r="D863" s="234" t="s">
        <v>99</v>
      </c>
      <c r="E863" s="235"/>
      <c r="F863" s="43">
        <f>+TRUNC(ROUND(F862/D837,2),2)</f>
        <v>120</v>
      </c>
      <c r="H863" s="18"/>
    </row>
    <row r="864" spans="1:8" ht="16.5" customHeight="1" x14ac:dyDescent="0.25">
      <c r="A864" s="22"/>
      <c r="B864" s="22"/>
      <c r="C864" s="22"/>
      <c r="D864" s="234" t="s">
        <v>100</v>
      </c>
      <c r="E864" s="235"/>
      <c r="F864" s="42">
        <f>+F863*INDIRECTOS</f>
        <v>48</v>
      </c>
      <c r="H864" s="17"/>
    </row>
    <row r="865" spans="1:6" ht="15.75" customHeight="1" x14ac:dyDescent="0.25">
      <c r="A865" s="22"/>
      <c r="B865" s="22"/>
      <c r="C865" s="22"/>
      <c r="D865" s="234" t="s">
        <v>101</v>
      </c>
      <c r="E865" s="235"/>
      <c r="F865" s="44">
        <f>+F864+F863</f>
        <v>168</v>
      </c>
    </row>
    <row r="866" spans="1:6" ht="15.75" customHeight="1" x14ac:dyDescent="0.25">
      <c r="A866" s="22"/>
      <c r="B866" s="22"/>
      <c r="C866" s="22"/>
      <c r="D866" s="63"/>
      <c r="E866" s="63"/>
      <c r="F866" s="64"/>
    </row>
    <row r="867" spans="1:6" ht="67.5" customHeight="1" x14ac:dyDescent="0.25">
      <c r="A867" s="45" t="s">
        <v>2</v>
      </c>
      <c r="B867" s="69">
        <v>11</v>
      </c>
      <c r="C867" s="46" t="s">
        <v>3</v>
      </c>
      <c r="D867" s="47" t="s">
        <v>107</v>
      </c>
      <c r="E867" s="48" t="s">
        <v>5</v>
      </c>
      <c r="F867" s="91" t="s">
        <v>206</v>
      </c>
    </row>
    <row r="868" spans="1:6" ht="75" customHeight="1" x14ac:dyDescent="0.25">
      <c r="A868" s="49" t="s">
        <v>0</v>
      </c>
      <c r="B868" s="83" t="s">
        <v>123</v>
      </c>
      <c r="C868" s="50" t="s">
        <v>4</v>
      </c>
      <c r="D868" s="85">
        <v>257.36</v>
      </c>
      <c r="E868" s="51" t="s">
        <v>7</v>
      </c>
      <c r="F868" s="21" t="s">
        <v>106</v>
      </c>
    </row>
    <row r="869" spans="1:6" ht="15.75" x14ac:dyDescent="0.25">
      <c r="A869" s="52" t="s">
        <v>1</v>
      </c>
      <c r="B869" s="70">
        <v>11.5</v>
      </c>
      <c r="C869" s="53"/>
      <c r="D869" s="54"/>
      <c r="E869" s="55" t="s">
        <v>6</v>
      </c>
      <c r="F869" s="56">
        <f>+F838</f>
        <v>42436</v>
      </c>
    </row>
    <row r="870" spans="1:6" ht="15.75" x14ac:dyDescent="0.25">
      <c r="A870" s="57"/>
      <c r="B870" s="57"/>
      <c r="C870" s="57"/>
      <c r="D870" s="57"/>
      <c r="E870" s="57"/>
      <c r="F870" s="57"/>
    </row>
    <row r="871" spans="1:6" ht="28.5" x14ac:dyDescent="0.25">
      <c r="A871" s="243" t="s">
        <v>9</v>
      </c>
      <c r="B871" s="244"/>
      <c r="C871" s="67" t="s">
        <v>10</v>
      </c>
      <c r="D871" s="59" t="s">
        <v>11</v>
      </c>
      <c r="E871" s="60" t="s">
        <v>12</v>
      </c>
      <c r="F871" s="61" t="s">
        <v>13</v>
      </c>
    </row>
    <row r="872" spans="1:6" ht="15.75" x14ac:dyDescent="0.25">
      <c r="A872" s="245" t="s">
        <v>8</v>
      </c>
      <c r="B872" s="246"/>
      <c r="C872" s="22"/>
      <c r="D872" s="22"/>
      <c r="E872" s="22"/>
      <c r="F872" s="22"/>
    </row>
    <row r="873" spans="1:6" ht="15.75" x14ac:dyDescent="0.25">
      <c r="A873" s="247" t="s">
        <v>151</v>
      </c>
      <c r="B873" s="248"/>
      <c r="C873" s="23"/>
      <c r="D873" s="24"/>
      <c r="E873" s="25"/>
      <c r="F873" s="23">
        <f t="shared" ref="F873:F880" si="54">+TRUNC(ROUND(E873*C873,2),2)</f>
        <v>0</v>
      </c>
    </row>
    <row r="874" spans="1:6" ht="15.75" x14ac:dyDescent="0.25">
      <c r="A874" s="236" t="s">
        <v>188</v>
      </c>
      <c r="B874" s="237"/>
      <c r="C874" s="26"/>
      <c r="D874" s="27"/>
      <c r="E874" s="28"/>
      <c r="F874" s="26">
        <f t="shared" si="54"/>
        <v>0</v>
      </c>
    </row>
    <row r="875" spans="1:6" ht="15.75" x14ac:dyDescent="0.25">
      <c r="A875" s="236" t="s">
        <v>244</v>
      </c>
      <c r="B875" s="237"/>
      <c r="C875" s="26"/>
      <c r="D875" s="27"/>
      <c r="E875" s="28"/>
      <c r="F875" s="26">
        <f t="shared" si="54"/>
        <v>0</v>
      </c>
    </row>
    <row r="876" spans="1:6" ht="15.75" x14ac:dyDescent="0.25">
      <c r="A876" s="236"/>
      <c r="B876" s="237"/>
      <c r="C876" s="26"/>
      <c r="D876" s="27"/>
      <c r="E876" s="28"/>
      <c r="F876" s="26">
        <f t="shared" si="54"/>
        <v>0</v>
      </c>
    </row>
    <row r="877" spans="1:6" ht="15.75" x14ac:dyDescent="0.25">
      <c r="A877" s="236"/>
      <c r="B877" s="237"/>
      <c r="C877" s="26"/>
      <c r="D877" s="27"/>
      <c r="E877" s="28"/>
      <c r="F877" s="26">
        <f t="shared" si="54"/>
        <v>0</v>
      </c>
    </row>
    <row r="878" spans="1:6" ht="15.75" x14ac:dyDescent="0.25">
      <c r="A878" s="236"/>
      <c r="B878" s="237"/>
      <c r="C878" s="26"/>
      <c r="D878" s="27"/>
      <c r="E878" s="28"/>
      <c r="F878" s="26">
        <f t="shared" si="54"/>
        <v>0</v>
      </c>
    </row>
    <row r="879" spans="1:6" ht="15.75" x14ac:dyDescent="0.25">
      <c r="A879" s="236"/>
      <c r="B879" s="237"/>
      <c r="C879" s="26"/>
      <c r="D879" s="27"/>
      <c r="E879" s="28"/>
      <c r="F879" s="26">
        <f t="shared" si="54"/>
        <v>0</v>
      </c>
    </row>
    <row r="880" spans="1:6" ht="15.75" x14ac:dyDescent="0.25">
      <c r="A880" s="236"/>
      <c r="B880" s="237"/>
      <c r="C880" s="26"/>
      <c r="D880" s="27"/>
      <c r="E880" s="28"/>
      <c r="F880" s="26">
        <f t="shared" si="54"/>
        <v>0</v>
      </c>
    </row>
    <row r="881" spans="1:8" ht="15.75" x14ac:dyDescent="0.25">
      <c r="A881" s="39"/>
      <c r="B881" s="241" t="s">
        <v>14</v>
      </c>
      <c r="C881" s="241"/>
      <c r="D881" s="241"/>
      <c r="E881" s="62"/>
      <c r="F881" s="41">
        <f>SUM(F873:F880)</f>
        <v>0</v>
      </c>
    </row>
    <row r="882" spans="1:8" ht="15.75" x14ac:dyDescent="0.25">
      <c r="A882" s="249" t="s">
        <v>15</v>
      </c>
      <c r="B882" s="250"/>
      <c r="C882" s="22"/>
      <c r="D882" s="22"/>
      <c r="E882" s="22"/>
      <c r="F882" s="22"/>
    </row>
    <row r="883" spans="1:8" ht="15.75" x14ac:dyDescent="0.25">
      <c r="A883" s="251" t="s">
        <v>245</v>
      </c>
      <c r="B883" s="252"/>
      <c r="C883" s="65">
        <f>+D868</f>
        <v>257.36</v>
      </c>
      <c r="D883" s="66" t="s">
        <v>102</v>
      </c>
      <c r="E883" s="41">
        <v>20</v>
      </c>
      <c r="F883" s="41">
        <f t="shared" ref="F883:F888" si="55">+TRUNC(ROUND(E883*C883,2),2)</f>
        <v>5147.2</v>
      </c>
    </row>
    <row r="884" spans="1:8" ht="15.75" x14ac:dyDescent="0.25">
      <c r="A884" s="236"/>
      <c r="B884" s="237"/>
      <c r="C884" s="28"/>
      <c r="D884" s="27"/>
      <c r="E884" s="26"/>
      <c r="F884" s="26">
        <f t="shared" si="55"/>
        <v>0</v>
      </c>
    </row>
    <row r="885" spans="1:8" ht="15.75" x14ac:dyDescent="0.25">
      <c r="A885" s="236"/>
      <c r="B885" s="237"/>
      <c r="C885" s="28"/>
      <c r="D885" s="27"/>
      <c r="E885" s="26"/>
      <c r="F885" s="26">
        <f t="shared" si="55"/>
        <v>0</v>
      </c>
    </row>
    <row r="886" spans="1:8" ht="15.75" x14ac:dyDescent="0.25">
      <c r="A886" s="236"/>
      <c r="B886" s="237"/>
      <c r="C886" s="28"/>
      <c r="D886" s="27"/>
      <c r="E886" s="26"/>
      <c r="F886" s="26">
        <f t="shared" si="55"/>
        <v>0</v>
      </c>
    </row>
    <row r="887" spans="1:8" ht="15.75" x14ac:dyDescent="0.25">
      <c r="A887" s="236"/>
      <c r="B887" s="237"/>
      <c r="C887" s="28"/>
      <c r="D887" s="27"/>
      <c r="E887" s="26"/>
      <c r="F887" s="26">
        <f t="shared" si="55"/>
        <v>0</v>
      </c>
    </row>
    <row r="888" spans="1:8" ht="15.75" x14ac:dyDescent="0.25">
      <c r="A888" s="236"/>
      <c r="B888" s="237"/>
      <c r="C888" s="28"/>
      <c r="D888" s="27"/>
      <c r="E888" s="26"/>
      <c r="F888" s="26">
        <f t="shared" si="55"/>
        <v>0</v>
      </c>
    </row>
    <row r="889" spans="1:8" ht="15.75" x14ac:dyDescent="0.25">
      <c r="A889" s="29"/>
      <c r="B889" s="30"/>
      <c r="C889" s="238" t="s">
        <v>96</v>
      </c>
      <c r="D889" s="239"/>
      <c r="E889" s="240"/>
      <c r="F889" s="26">
        <f>SUM(F883:F888)</f>
        <v>5147.2</v>
      </c>
    </row>
    <row r="890" spans="1:8" ht="15.75" x14ac:dyDescent="0.25">
      <c r="A890" s="31"/>
      <c r="B890" s="68" t="s">
        <v>17</v>
      </c>
      <c r="C890" s="33">
        <f>+AYUDANTE</f>
        <v>40</v>
      </c>
      <c r="D890" s="27" t="s">
        <v>97</v>
      </c>
      <c r="E890" s="26"/>
      <c r="F890" s="23">
        <f>+TRUNC(ROUND(E890*C890,2),2)/100</f>
        <v>0</v>
      </c>
    </row>
    <row r="891" spans="1:8" ht="15.75" x14ac:dyDescent="0.25">
      <c r="A891" s="34"/>
      <c r="B891" s="35" t="s">
        <v>18</v>
      </c>
      <c r="C891" s="36">
        <f>+PRESTACIONES</f>
        <v>40</v>
      </c>
      <c r="D891" s="37" t="s">
        <v>97</v>
      </c>
      <c r="E891" s="38"/>
      <c r="F891" s="38">
        <f>+TRUNC(ROUND(E891*C891,2),2)/100</f>
        <v>0</v>
      </c>
    </row>
    <row r="892" spans="1:8" ht="15.75" x14ac:dyDescent="0.25">
      <c r="A892" s="39"/>
      <c r="B892" s="241" t="s">
        <v>16</v>
      </c>
      <c r="C892" s="241"/>
      <c r="D892" s="242"/>
      <c r="E892" s="40"/>
      <c r="F892" s="41">
        <f>+F891+F890+F889</f>
        <v>5147.2</v>
      </c>
    </row>
    <row r="893" spans="1:8" ht="15" customHeight="1" x14ac:dyDescent="0.25">
      <c r="A893" s="22"/>
      <c r="B893" s="22"/>
      <c r="C893" s="22"/>
      <c r="D893" s="234" t="s">
        <v>98</v>
      </c>
      <c r="E893" s="235"/>
      <c r="F893" s="42">
        <f>+F892+F881</f>
        <v>5147.2</v>
      </c>
      <c r="G893" s="17">
        <f>+F893</f>
        <v>5147.2</v>
      </c>
      <c r="H893" s="17">
        <f>+F881+F892+F895</f>
        <v>5155.2</v>
      </c>
    </row>
    <row r="894" spans="1:8" ht="17.25" customHeight="1" x14ac:dyDescent="0.25">
      <c r="A894" s="22"/>
      <c r="B894" s="22"/>
      <c r="C894" s="22"/>
      <c r="D894" s="234" t="s">
        <v>99</v>
      </c>
      <c r="E894" s="235"/>
      <c r="F894" s="43">
        <f>+TRUNC(ROUND(F893/D868,2),2)</f>
        <v>20</v>
      </c>
      <c r="H894" s="18"/>
    </row>
    <row r="895" spans="1:8" ht="16.5" customHeight="1" x14ac:dyDescent="0.25">
      <c r="A895" s="22"/>
      <c r="B895" s="22"/>
      <c r="C895" s="22"/>
      <c r="D895" s="234" t="s">
        <v>100</v>
      </c>
      <c r="E895" s="235"/>
      <c r="F895" s="42">
        <f>+F894*INDIRECTOS</f>
        <v>8</v>
      </c>
      <c r="H895" s="17"/>
    </row>
    <row r="896" spans="1:8" ht="15.75" customHeight="1" x14ac:dyDescent="0.25">
      <c r="A896" s="22"/>
      <c r="B896" s="22"/>
      <c r="C896" s="22"/>
      <c r="D896" s="234" t="s">
        <v>101</v>
      </c>
      <c r="E896" s="235"/>
      <c r="F896" s="44">
        <f>+F895+F894</f>
        <v>28</v>
      </c>
    </row>
    <row r="897" spans="1:6" ht="15.75" customHeight="1" x14ac:dyDescent="0.25">
      <c r="A897" s="22"/>
      <c r="B897" s="22"/>
      <c r="C897" s="22"/>
      <c r="D897" s="63"/>
      <c r="E897" s="63"/>
      <c r="F897" s="64"/>
    </row>
    <row r="898" spans="1:6" ht="15.75" customHeight="1" x14ac:dyDescent="0.25">
      <c r="A898" s="22"/>
      <c r="B898" s="22"/>
      <c r="C898" s="22"/>
      <c r="D898" s="63"/>
      <c r="E898" s="63"/>
      <c r="F898" s="64"/>
    </row>
    <row r="899" spans="1:6" ht="67.5" customHeight="1" x14ac:dyDescent="0.25">
      <c r="A899" s="45" t="s">
        <v>2</v>
      </c>
      <c r="B899" s="69">
        <v>11</v>
      </c>
      <c r="C899" s="46" t="s">
        <v>3</v>
      </c>
      <c r="D899" s="47" t="s">
        <v>175</v>
      </c>
      <c r="E899" s="48" t="s">
        <v>5</v>
      </c>
      <c r="F899" s="91" t="s">
        <v>206</v>
      </c>
    </row>
    <row r="900" spans="1:6" ht="75" customHeight="1" x14ac:dyDescent="0.25">
      <c r="A900" s="49" t="s">
        <v>0</v>
      </c>
      <c r="B900" s="83" t="s">
        <v>124</v>
      </c>
      <c r="C900" s="50" t="s">
        <v>4</v>
      </c>
      <c r="D900" s="85">
        <v>9</v>
      </c>
      <c r="E900" s="51" t="s">
        <v>7</v>
      </c>
      <c r="F900" s="21" t="s">
        <v>106</v>
      </c>
    </row>
    <row r="901" spans="1:6" ht="15.75" x14ac:dyDescent="0.25">
      <c r="A901" s="52" t="s">
        <v>1</v>
      </c>
      <c r="B901" s="70">
        <v>11.9</v>
      </c>
      <c r="C901" s="53"/>
      <c r="D901" s="54"/>
      <c r="E901" s="55" t="s">
        <v>6</v>
      </c>
      <c r="F901" s="56" t="e">
        <f>+#REF!</f>
        <v>#REF!</v>
      </c>
    </row>
    <row r="902" spans="1:6" ht="15.75" x14ac:dyDescent="0.25">
      <c r="A902" s="57"/>
      <c r="B902" s="57"/>
      <c r="C902" s="57"/>
      <c r="D902" s="57"/>
      <c r="E902" s="57"/>
      <c r="F902" s="57"/>
    </row>
    <row r="903" spans="1:6" ht="28.5" x14ac:dyDescent="0.25">
      <c r="A903" s="243" t="s">
        <v>9</v>
      </c>
      <c r="B903" s="244"/>
      <c r="C903" s="67" t="s">
        <v>10</v>
      </c>
      <c r="D903" s="59" t="s">
        <v>11</v>
      </c>
      <c r="E903" s="60" t="s">
        <v>12</v>
      </c>
      <c r="F903" s="61" t="s">
        <v>13</v>
      </c>
    </row>
    <row r="904" spans="1:6" ht="15.75" x14ac:dyDescent="0.25">
      <c r="A904" s="245" t="s">
        <v>8</v>
      </c>
      <c r="B904" s="246"/>
      <c r="C904" s="22"/>
      <c r="D904" s="22"/>
      <c r="E904" s="22"/>
      <c r="F904" s="22"/>
    </row>
    <row r="905" spans="1:6" ht="15.75" x14ac:dyDescent="0.25">
      <c r="A905" s="247"/>
      <c r="B905" s="248"/>
      <c r="C905" s="23"/>
      <c r="D905" s="24"/>
      <c r="E905" s="25"/>
      <c r="F905" s="23">
        <f t="shared" ref="F905:F912" si="56">+TRUNC(ROUND(E905*C905,2),2)</f>
        <v>0</v>
      </c>
    </row>
    <row r="906" spans="1:6" ht="15.75" x14ac:dyDescent="0.25">
      <c r="A906" s="236"/>
      <c r="B906" s="237"/>
      <c r="C906" s="26"/>
      <c r="D906" s="27"/>
      <c r="E906" s="28"/>
      <c r="F906" s="26">
        <f t="shared" si="56"/>
        <v>0</v>
      </c>
    </row>
    <row r="907" spans="1:6" ht="15.75" x14ac:dyDescent="0.25">
      <c r="A907" s="236"/>
      <c r="B907" s="237"/>
      <c r="C907" s="26"/>
      <c r="D907" s="27"/>
      <c r="E907" s="28"/>
      <c r="F907" s="26">
        <f t="shared" si="56"/>
        <v>0</v>
      </c>
    </row>
    <row r="908" spans="1:6" ht="15.75" x14ac:dyDescent="0.25">
      <c r="A908" s="236"/>
      <c r="B908" s="237"/>
      <c r="C908" s="26"/>
      <c r="D908" s="27"/>
      <c r="E908" s="28"/>
      <c r="F908" s="26">
        <f t="shared" si="56"/>
        <v>0</v>
      </c>
    </row>
    <row r="909" spans="1:6" ht="15.75" x14ac:dyDescent="0.25">
      <c r="A909" s="236"/>
      <c r="B909" s="237"/>
      <c r="C909" s="26"/>
      <c r="D909" s="27"/>
      <c r="E909" s="28"/>
      <c r="F909" s="26">
        <f t="shared" si="56"/>
        <v>0</v>
      </c>
    </row>
    <row r="910" spans="1:6" ht="15.75" x14ac:dyDescent="0.25">
      <c r="A910" s="236"/>
      <c r="B910" s="237"/>
      <c r="C910" s="26"/>
      <c r="D910" s="27"/>
      <c r="E910" s="28"/>
      <c r="F910" s="26">
        <f t="shared" si="56"/>
        <v>0</v>
      </c>
    </row>
    <row r="911" spans="1:6" ht="15.75" x14ac:dyDescent="0.25">
      <c r="A911" s="236"/>
      <c r="B911" s="237"/>
      <c r="C911" s="26"/>
      <c r="D911" s="27"/>
      <c r="E911" s="28"/>
      <c r="F911" s="26">
        <f t="shared" si="56"/>
        <v>0</v>
      </c>
    </row>
    <row r="912" spans="1:6" ht="15.75" x14ac:dyDescent="0.25">
      <c r="A912" s="236"/>
      <c r="B912" s="237"/>
      <c r="C912" s="26"/>
      <c r="D912" s="27"/>
      <c r="E912" s="28"/>
      <c r="F912" s="26">
        <f t="shared" si="56"/>
        <v>0</v>
      </c>
    </row>
    <row r="913" spans="1:8" ht="15.75" x14ac:dyDescent="0.25">
      <c r="A913" s="39"/>
      <c r="B913" s="241" t="s">
        <v>14</v>
      </c>
      <c r="C913" s="241"/>
      <c r="D913" s="241"/>
      <c r="E913" s="62"/>
      <c r="F913" s="41">
        <f>SUM(F905:F912)</f>
        <v>0</v>
      </c>
    </row>
    <row r="914" spans="1:8" ht="15.75" x14ac:dyDescent="0.25">
      <c r="A914" s="249" t="s">
        <v>15</v>
      </c>
      <c r="B914" s="250"/>
      <c r="C914" s="22"/>
      <c r="D914" s="22"/>
      <c r="E914" s="22"/>
      <c r="F914" s="22"/>
    </row>
    <row r="915" spans="1:8" ht="15.75" x14ac:dyDescent="0.25">
      <c r="A915" s="251" t="s">
        <v>105</v>
      </c>
      <c r="B915" s="252"/>
      <c r="C915" s="65">
        <f>+D900*1.32</f>
        <v>11.88</v>
      </c>
      <c r="D915" s="66" t="s">
        <v>102</v>
      </c>
      <c r="E915" s="41">
        <v>63.5</v>
      </c>
      <c r="F915" s="41">
        <f t="shared" ref="F915:F920" si="57">+TRUNC(ROUND(E915*C915,2),2)</f>
        <v>754.38</v>
      </c>
    </row>
    <row r="916" spans="1:8" ht="15.75" x14ac:dyDescent="0.25">
      <c r="A916" s="236"/>
      <c r="B916" s="237"/>
      <c r="C916" s="28"/>
      <c r="D916" s="27"/>
      <c r="E916" s="26"/>
      <c r="F916" s="26">
        <f t="shared" si="57"/>
        <v>0</v>
      </c>
    </row>
    <row r="917" spans="1:8" ht="15.75" x14ac:dyDescent="0.25">
      <c r="A917" s="236"/>
      <c r="B917" s="237"/>
      <c r="C917" s="28"/>
      <c r="D917" s="27"/>
      <c r="E917" s="26"/>
      <c r="F917" s="26">
        <f t="shared" si="57"/>
        <v>0</v>
      </c>
    </row>
    <row r="918" spans="1:8" ht="15.75" x14ac:dyDescent="0.25">
      <c r="A918" s="236"/>
      <c r="B918" s="237"/>
      <c r="C918" s="28"/>
      <c r="D918" s="27"/>
      <c r="E918" s="26"/>
      <c r="F918" s="26">
        <f t="shared" si="57"/>
        <v>0</v>
      </c>
    </row>
    <row r="919" spans="1:8" ht="15.75" x14ac:dyDescent="0.25">
      <c r="A919" s="236"/>
      <c r="B919" s="237"/>
      <c r="C919" s="28"/>
      <c r="D919" s="27"/>
      <c r="E919" s="26"/>
      <c r="F919" s="26">
        <f t="shared" si="57"/>
        <v>0</v>
      </c>
    </row>
    <row r="920" spans="1:8" ht="15.75" x14ac:dyDescent="0.25">
      <c r="A920" s="236"/>
      <c r="B920" s="237"/>
      <c r="C920" s="28"/>
      <c r="D920" s="27"/>
      <c r="E920" s="26"/>
      <c r="F920" s="26">
        <f t="shared" si="57"/>
        <v>0</v>
      </c>
    </row>
    <row r="921" spans="1:8" ht="15.75" x14ac:dyDescent="0.25">
      <c r="A921" s="29"/>
      <c r="B921" s="30"/>
      <c r="C921" s="238" t="s">
        <v>96</v>
      </c>
      <c r="D921" s="239"/>
      <c r="E921" s="240"/>
      <c r="F921" s="26">
        <f>SUM(F915:F920)</f>
        <v>754.38</v>
      </c>
    </row>
    <row r="922" spans="1:8" ht="15.75" x14ac:dyDescent="0.25">
      <c r="A922" s="31"/>
      <c r="B922" s="68" t="s">
        <v>17</v>
      </c>
      <c r="C922" s="33">
        <f>+AYUDANTE</f>
        <v>40</v>
      </c>
      <c r="D922" s="27" t="s">
        <v>97</v>
      </c>
      <c r="E922" s="26"/>
      <c r="F922" s="23">
        <f>+TRUNC(ROUND(E922*C922,2),2)/100</f>
        <v>0</v>
      </c>
    </row>
    <row r="923" spans="1:8" ht="15.75" x14ac:dyDescent="0.25">
      <c r="A923" s="34"/>
      <c r="B923" s="35" t="s">
        <v>18</v>
      </c>
      <c r="C923" s="36">
        <f>+PRESTACIONES</f>
        <v>40</v>
      </c>
      <c r="D923" s="37" t="s">
        <v>97</v>
      </c>
      <c r="E923" s="38"/>
      <c r="F923" s="38">
        <f>+TRUNC(ROUND(E923*C923,2),2)/100</f>
        <v>0</v>
      </c>
    </row>
    <row r="924" spans="1:8" ht="15.75" x14ac:dyDescent="0.25">
      <c r="A924" s="39"/>
      <c r="B924" s="241" t="s">
        <v>16</v>
      </c>
      <c r="C924" s="241"/>
      <c r="D924" s="242"/>
      <c r="E924" s="40"/>
      <c r="F924" s="41">
        <f>+F923+F922+F921</f>
        <v>754.38</v>
      </c>
    </row>
    <row r="925" spans="1:8" ht="15" customHeight="1" x14ac:dyDescent="0.25">
      <c r="A925" s="22"/>
      <c r="B925" s="22"/>
      <c r="C925" s="22"/>
      <c r="D925" s="234" t="s">
        <v>98</v>
      </c>
      <c r="E925" s="235"/>
      <c r="F925" s="42">
        <f>+F924+F913</f>
        <v>754.38</v>
      </c>
      <c r="G925" s="17">
        <f>+F925</f>
        <v>754.38</v>
      </c>
      <c r="H925" s="17">
        <f>+F913+F924+F927</f>
        <v>787.90800000000002</v>
      </c>
    </row>
    <row r="926" spans="1:8" ht="17.25" customHeight="1" x14ac:dyDescent="0.25">
      <c r="A926" s="22"/>
      <c r="B926" s="22"/>
      <c r="C926" s="22"/>
      <c r="D926" s="234" t="s">
        <v>99</v>
      </c>
      <c r="E926" s="235"/>
      <c r="F926" s="43">
        <f>+TRUNC(ROUND(F925/D900,2),2)</f>
        <v>83.82</v>
      </c>
      <c r="H926" s="18"/>
    </row>
    <row r="927" spans="1:8" ht="16.5" customHeight="1" x14ac:dyDescent="0.25">
      <c r="A927" s="22"/>
      <c r="B927" s="22"/>
      <c r="C927" s="22"/>
      <c r="D927" s="234" t="s">
        <v>100</v>
      </c>
      <c r="E927" s="235"/>
      <c r="F927" s="42">
        <f>+F926*INDIRECTOS</f>
        <v>33.527999999999999</v>
      </c>
      <c r="H927" s="17"/>
    </row>
    <row r="928" spans="1:8" ht="15.75" customHeight="1" x14ac:dyDescent="0.25">
      <c r="A928" s="22"/>
      <c r="B928" s="22"/>
      <c r="C928" s="22"/>
      <c r="D928" s="234" t="s">
        <v>101</v>
      </c>
      <c r="E928" s="235"/>
      <c r="F928" s="44">
        <f>+F927+F926</f>
        <v>117.34799999999998</v>
      </c>
    </row>
    <row r="929" spans="1:6" ht="15.75" customHeight="1" x14ac:dyDescent="0.25">
      <c r="A929" s="22"/>
      <c r="B929" s="22"/>
      <c r="C929" s="22"/>
      <c r="D929" s="63"/>
      <c r="E929" s="63"/>
      <c r="F929" s="64"/>
    </row>
    <row r="930" spans="1:6" ht="15.75" customHeight="1" x14ac:dyDescent="0.25">
      <c r="A930" s="22"/>
      <c r="B930" s="22"/>
      <c r="C930" s="22"/>
      <c r="D930" s="63"/>
      <c r="E930" s="63"/>
      <c r="F930" s="64"/>
    </row>
    <row r="931" spans="1:6" ht="67.5" customHeight="1" x14ac:dyDescent="0.25">
      <c r="A931" s="45" t="s">
        <v>2</v>
      </c>
      <c r="B931" s="69">
        <v>13</v>
      </c>
      <c r="C931" s="46" t="s">
        <v>3</v>
      </c>
      <c r="D931" s="47" t="s">
        <v>107</v>
      </c>
      <c r="E931" s="48" t="s">
        <v>5</v>
      </c>
      <c r="F931" s="91" t="s">
        <v>206</v>
      </c>
    </row>
    <row r="932" spans="1:6" ht="75" customHeight="1" x14ac:dyDescent="0.25">
      <c r="A932" s="49" t="s">
        <v>0</v>
      </c>
      <c r="B932" s="83" t="s">
        <v>125</v>
      </c>
      <c r="C932" s="50" t="s">
        <v>4</v>
      </c>
      <c r="D932" s="85">
        <v>4</v>
      </c>
      <c r="E932" s="51" t="s">
        <v>7</v>
      </c>
      <c r="F932" s="21" t="s">
        <v>106</v>
      </c>
    </row>
    <row r="933" spans="1:6" ht="15.75" x14ac:dyDescent="0.25">
      <c r="A933" s="52" t="s">
        <v>1</v>
      </c>
      <c r="B933" s="70">
        <v>13.1</v>
      </c>
      <c r="C933" s="53"/>
      <c r="D933" s="54"/>
      <c r="E933" s="55" t="s">
        <v>6</v>
      </c>
      <c r="F933" s="56" t="e">
        <f>+#REF!</f>
        <v>#REF!</v>
      </c>
    </row>
    <row r="934" spans="1:6" ht="15.75" x14ac:dyDescent="0.25">
      <c r="A934" s="57"/>
      <c r="B934" s="57"/>
      <c r="C934" s="57"/>
      <c r="D934" s="57"/>
      <c r="E934" s="57"/>
      <c r="F934" s="57"/>
    </row>
    <row r="935" spans="1:6" ht="28.5" x14ac:dyDescent="0.25">
      <c r="A935" s="243" t="s">
        <v>9</v>
      </c>
      <c r="B935" s="244"/>
      <c r="C935" s="67" t="s">
        <v>10</v>
      </c>
      <c r="D935" s="59" t="s">
        <v>11</v>
      </c>
      <c r="E935" s="60" t="s">
        <v>12</v>
      </c>
      <c r="F935" s="61" t="s">
        <v>13</v>
      </c>
    </row>
    <row r="936" spans="1:6" ht="15.75" x14ac:dyDescent="0.25">
      <c r="A936" s="245" t="s">
        <v>8</v>
      </c>
      <c r="B936" s="246"/>
      <c r="C936" s="22"/>
      <c r="D936" s="22"/>
      <c r="E936" s="22"/>
      <c r="F936" s="22"/>
    </row>
    <row r="937" spans="1:6" ht="15.75" x14ac:dyDescent="0.25">
      <c r="A937" s="247"/>
      <c r="B937" s="248"/>
      <c r="C937" s="23"/>
      <c r="D937" s="24"/>
      <c r="E937" s="25"/>
      <c r="F937" s="23">
        <f t="shared" ref="F937:F944" si="58">+TRUNC(ROUND(E937*C937,2),2)</f>
        <v>0</v>
      </c>
    </row>
    <row r="938" spans="1:6" ht="15.75" x14ac:dyDescent="0.25">
      <c r="A938" s="236"/>
      <c r="B938" s="237"/>
      <c r="C938" s="26"/>
      <c r="D938" s="27"/>
      <c r="E938" s="28"/>
      <c r="F938" s="26">
        <f t="shared" si="58"/>
        <v>0</v>
      </c>
    </row>
    <row r="939" spans="1:6" ht="15.75" x14ac:dyDescent="0.25">
      <c r="A939" s="236"/>
      <c r="B939" s="237"/>
      <c r="C939" s="26"/>
      <c r="D939" s="27"/>
      <c r="E939" s="28"/>
      <c r="F939" s="26">
        <f t="shared" si="58"/>
        <v>0</v>
      </c>
    </row>
    <row r="940" spans="1:6" ht="15.75" x14ac:dyDescent="0.25">
      <c r="A940" s="236"/>
      <c r="B940" s="237"/>
      <c r="C940" s="26"/>
      <c r="D940" s="27"/>
      <c r="E940" s="28"/>
      <c r="F940" s="26">
        <f t="shared" si="58"/>
        <v>0</v>
      </c>
    </row>
    <row r="941" spans="1:6" ht="15.75" x14ac:dyDescent="0.25">
      <c r="A941" s="236"/>
      <c r="B941" s="237"/>
      <c r="C941" s="26"/>
      <c r="D941" s="27"/>
      <c r="E941" s="28"/>
      <c r="F941" s="26">
        <f t="shared" si="58"/>
        <v>0</v>
      </c>
    </row>
    <row r="942" spans="1:6" ht="15.75" x14ac:dyDescent="0.25">
      <c r="A942" s="236"/>
      <c r="B942" s="237"/>
      <c r="C942" s="26"/>
      <c r="D942" s="27"/>
      <c r="E942" s="28"/>
      <c r="F942" s="26">
        <f t="shared" si="58"/>
        <v>0</v>
      </c>
    </row>
    <row r="943" spans="1:6" ht="15.75" x14ac:dyDescent="0.25">
      <c r="A943" s="236"/>
      <c r="B943" s="237"/>
      <c r="C943" s="26"/>
      <c r="D943" s="27"/>
      <c r="E943" s="28"/>
      <c r="F943" s="26">
        <f t="shared" si="58"/>
        <v>0</v>
      </c>
    </row>
    <row r="944" spans="1:6" ht="15.75" x14ac:dyDescent="0.25">
      <c r="A944" s="236"/>
      <c r="B944" s="237"/>
      <c r="C944" s="26"/>
      <c r="D944" s="27"/>
      <c r="E944" s="28"/>
      <c r="F944" s="26">
        <f t="shared" si="58"/>
        <v>0</v>
      </c>
    </row>
    <row r="945" spans="1:8" ht="15.75" x14ac:dyDescent="0.25">
      <c r="A945" s="39"/>
      <c r="B945" s="241" t="s">
        <v>14</v>
      </c>
      <c r="C945" s="241"/>
      <c r="D945" s="241"/>
      <c r="E945" s="62"/>
      <c r="F945" s="41">
        <f>SUM(F937:F944)</f>
        <v>0</v>
      </c>
    </row>
    <row r="946" spans="1:8" ht="15.75" x14ac:dyDescent="0.25">
      <c r="A946" s="249" t="s">
        <v>15</v>
      </c>
      <c r="B946" s="250"/>
      <c r="C946" s="22"/>
      <c r="D946" s="22"/>
      <c r="E946" s="22"/>
      <c r="F946" s="22"/>
    </row>
    <row r="947" spans="1:8" ht="15.75" x14ac:dyDescent="0.25">
      <c r="A947" s="251" t="s">
        <v>105</v>
      </c>
      <c r="B947" s="252"/>
      <c r="C947" s="65">
        <f>+D932*1.32</f>
        <v>5.28</v>
      </c>
      <c r="D947" s="66" t="s">
        <v>102</v>
      </c>
      <c r="E947" s="41">
        <v>63.5</v>
      </c>
      <c r="F947" s="41">
        <f t="shared" ref="F947:F952" si="59">+TRUNC(ROUND(E947*C947,2),2)</f>
        <v>335.28</v>
      </c>
    </row>
    <row r="948" spans="1:8" ht="15.75" x14ac:dyDescent="0.25">
      <c r="A948" s="236"/>
      <c r="B948" s="237"/>
      <c r="C948" s="28"/>
      <c r="D948" s="27"/>
      <c r="E948" s="26"/>
      <c r="F948" s="26">
        <f t="shared" si="59"/>
        <v>0</v>
      </c>
    </row>
    <row r="949" spans="1:8" ht="15.75" x14ac:dyDescent="0.25">
      <c r="A949" s="236"/>
      <c r="B949" s="237"/>
      <c r="C949" s="28"/>
      <c r="D949" s="27"/>
      <c r="E949" s="26"/>
      <c r="F949" s="26">
        <f t="shared" si="59"/>
        <v>0</v>
      </c>
    </row>
    <row r="950" spans="1:8" ht="15.75" x14ac:dyDescent="0.25">
      <c r="A950" s="236"/>
      <c r="B950" s="237"/>
      <c r="C950" s="28"/>
      <c r="D950" s="27"/>
      <c r="E950" s="26"/>
      <c r="F950" s="26">
        <f t="shared" si="59"/>
        <v>0</v>
      </c>
    </row>
    <row r="951" spans="1:8" ht="15.75" x14ac:dyDescent="0.25">
      <c r="A951" s="236"/>
      <c r="B951" s="237"/>
      <c r="C951" s="28"/>
      <c r="D951" s="27"/>
      <c r="E951" s="26"/>
      <c r="F951" s="26">
        <f t="shared" si="59"/>
        <v>0</v>
      </c>
    </row>
    <row r="952" spans="1:8" ht="15.75" x14ac:dyDescent="0.25">
      <c r="A952" s="236"/>
      <c r="B952" s="237"/>
      <c r="C952" s="28"/>
      <c r="D952" s="27"/>
      <c r="E952" s="26"/>
      <c r="F952" s="26">
        <f t="shared" si="59"/>
        <v>0</v>
      </c>
    </row>
    <row r="953" spans="1:8" ht="15.75" x14ac:dyDescent="0.25">
      <c r="A953" s="29"/>
      <c r="B953" s="30"/>
      <c r="C953" s="238" t="s">
        <v>96</v>
      </c>
      <c r="D953" s="239"/>
      <c r="E953" s="240"/>
      <c r="F953" s="26">
        <f>SUM(F947:F952)</f>
        <v>335.28</v>
      </c>
    </row>
    <row r="954" spans="1:8" ht="15.75" x14ac:dyDescent="0.25">
      <c r="A954" s="31"/>
      <c r="B954" s="68" t="s">
        <v>17</v>
      </c>
      <c r="C954" s="33">
        <f>+AYUDANTE</f>
        <v>40</v>
      </c>
      <c r="D954" s="27" t="s">
        <v>97</v>
      </c>
      <c r="E954" s="26"/>
      <c r="F954" s="23">
        <f>+TRUNC(ROUND(E954*C954,2),2)/100</f>
        <v>0</v>
      </c>
    </row>
    <row r="955" spans="1:8" ht="15.75" x14ac:dyDescent="0.25">
      <c r="A955" s="34"/>
      <c r="B955" s="35" t="s">
        <v>18</v>
      </c>
      <c r="C955" s="36">
        <f>+PRESTACIONES</f>
        <v>40</v>
      </c>
      <c r="D955" s="37" t="s">
        <v>97</v>
      </c>
      <c r="E955" s="38"/>
      <c r="F955" s="38">
        <f>+TRUNC(ROUND(E955*C955,2),2)/100</f>
        <v>0</v>
      </c>
    </row>
    <row r="956" spans="1:8" ht="15.75" x14ac:dyDescent="0.25">
      <c r="A956" s="39"/>
      <c r="B956" s="241" t="s">
        <v>16</v>
      </c>
      <c r="C956" s="241"/>
      <c r="D956" s="242"/>
      <c r="E956" s="40"/>
      <c r="F956" s="41">
        <f>+F955+F954+F953</f>
        <v>335.28</v>
      </c>
    </row>
    <row r="957" spans="1:8" ht="15" customHeight="1" x14ac:dyDescent="0.25">
      <c r="A957" s="22"/>
      <c r="B957" s="22"/>
      <c r="C957" s="22"/>
      <c r="D957" s="234" t="s">
        <v>98</v>
      </c>
      <c r="E957" s="235"/>
      <c r="F957" s="42">
        <f>+F956+F945</f>
        <v>335.28</v>
      </c>
      <c r="G957" s="17">
        <f>+F957</f>
        <v>335.28</v>
      </c>
      <c r="H957" s="17">
        <f>+F945+F956+F959</f>
        <v>368.80799999999999</v>
      </c>
    </row>
    <row r="958" spans="1:8" ht="17.25" customHeight="1" x14ac:dyDescent="0.25">
      <c r="A958" s="22"/>
      <c r="B958" s="22"/>
      <c r="C958" s="22"/>
      <c r="D958" s="234" t="s">
        <v>99</v>
      </c>
      <c r="E958" s="235"/>
      <c r="F958" s="43">
        <f>+TRUNC(ROUND(F957/D932,2),2)</f>
        <v>83.82</v>
      </c>
      <c r="H958" s="18"/>
    </row>
    <row r="959" spans="1:8" ht="16.5" customHeight="1" x14ac:dyDescent="0.25">
      <c r="A959" s="22"/>
      <c r="B959" s="22"/>
      <c r="C959" s="22"/>
      <c r="D959" s="234" t="s">
        <v>100</v>
      </c>
      <c r="E959" s="235"/>
      <c r="F959" s="42">
        <f>+F958*INDIRECTOS</f>
        <v>33.527999999999999</v>
      </c>
      <c r="H959" s="17"/>
    </row>
    <row r="960" spans="1:8" ht="15.75" customHeight="1" x14ac:dyDescent="0.25">
      <c r="A960" s="22"/>
      <c r="B960" s="22"/>
      <c r="C960" s="22"/>
      <c r="D960" s="234" t="s">
        <v>101</v>
      </c>
      <c r="E960" s="235"/>
      <c r="F960" s="44">
        <f>+F959+F958</f>
        <v>117.34799999999998</v>
      </c>
    </row>
    <row r="961" spans="1:6" ht="15.75" customHeight="1" x14ac:dyDescent="0.25">
      <c r="A961" s="22"/>
      <c r="B961" s="22"/>
      <c r="C961" s="22"/>
      <c r="D961" s="63"/>
      <c r="E961" s="63"/>
      <c r="F961" s="64"/>
    </row>
    <row r="962" spans="1:6" ht="67.5" customHeight="1" x14ac:dyDescent="0.25">
      <c r="A962" s="45" t="s">
        <v>2</v>
      </c>
      <c r="B962" s="69">
        <v>14</v>
      </c>
      <c r="C962" s="46" t="s">
        <v>3</v>
      </c>
      <c r="D962" s="47" t="s">
        <v>11</v>
      </c>
      <c r="E962" s="48" t="s">
        <v>5</v>
      </c>
      <c r="F962" s="91" t="s">
        <v>206</v>
      </c>
    </row>
    <row r="963" spans="1:6" ht="75" customHeight="1" x14ac:dyDescent="0.25">
      <c r="A963" s="49" t="s">
        <v>0</v>
      </c>
      <c r="B963" s="83" t="s">
        <v>126</v>
      </c>
      <c r="C963" s="50" t="s">
        <v>4</v>
      </c>
      <c r="D963" s="85">
        <v>1</v>
      </c>
      <c r="E963" s="51" t="s">
        <v>7</v>
      </c>
      <c r="F963" s="21" t="s">
        <v>106</v>
      </c>
    </row>
    <row r="964" spans="1:6" ht="15.75" x14ac:dyDescent="0.25">
      <c r="A964" s="52" t="s">
        <v>1</v>
      </c>
      <c r="B964" s="70">
        <v>14.1</v>
      </c>
      <c r="C964" s="53"/>
      <c r="D964" s="54"/>
      <c r="E964" s="55" t="s">
        <v>6</v>
      </c>
      <c r="F964" s="56" t="e">
        <f>+F933</f>
        <v>#REF!</v>
      </c>
    </row>
    <row r="965" spans="1:6" ht="15.75" x14ac:dyDescent="0.25">
      <c r="A965" s="57"/>
      <c r="B965" s="57"/>
      <c r="C965" s="57"/>
      <c r="D965" s="57"/>
      <c r="E965" s="57"/>
      <c r="F965" s="57"/>
    </row>
    <row r="966" spans="1:6" ht="28.5" x14ac:dyDescent="0.25">
      <c r="A966" s="243" t="s">
        <v>9</v>
      </c>
      <c r="B966" s="244"/>
      <c r="C966" s="67" t="s">
        <v>10</v>
      </c>
      <c r="D966" s="59" t="s">
        <v>11</v>
      </c>
      <c r="E966" s="60" t="s">
        <v>12</v>
      </c>
      <c r="F966" s="61" t="s">
        <v>13</v>
      </c>
    </row>
    <row r="967" spans="1:6" ht="15.75" x14ac:dyDescent="0.25">
      <c r="A967" s="245" t="s">
        <v>8</v>
      </c>
      <c r="B967" s="246"/>
      <c r="C967" s="22"/>
      <c r="D967" s="22"/>
      <c r="E967" s="22"/>
      <c r="F967" s="22"/>
    </row>
    <row r="968" spans="1:6" ht="15.75" x14ac:dyDescent="0.25">
      <c r="A968" s="247" t="s">
        <v>176</v>
      </c>
      <c r="B968" s="248"/>
      <c r="C968" s="23">
        <v>1</v>
      </c>
      <c r="D968" s="24" t="s">
        <v>177</v>
      </c>
      <c r="E968" s="25"/>
      <c r="F968" s="23">
        <f t="shared" ref="F968:F975" si="60">+TRUNC(ROUND(E968*C968,2),2)</f>
        <v>0</v>
      </c>
    </row>
    <row r="969" spans="1:6" ht="15.75" x14ac:dyDescent="0.25">
      <c r="A969" s="236"/>
      <c r="B969" s="237"/>
      <c r="C969" s="26"/>
      <c r="D969" s="27"/>
      <c r="E969" s="28"/>
      <c r="F969" s="26">
        <f t="shared" si="60"/>
        <v>0</v>
      </c>
    </row>
    <row r="970" spans="1:6" ht="15.75" x14ac:dyDescent="0.25">
      <c r="A970" s="236"/>
      <c r="B970" s="237"/>
      <c r="C970" s="26"/>
      <c r="D970" s="27"/>
      <c r="E970" s="28"/>
      <c r="F970" s="26">
        <f t="shared" si="60"/>
        <v>0</v>
      </c>
    </row>
    <row r="971" spans="1:6" ht="15.75" x14ac:dyDescent="0.25">
      <c r="A971" s="236"/>
      <c r="B971" s="237"/>
      <c r="C971" s="26"/>
      <c r="D971" s="27"/>
      <c r="E971" s="28"/>
      <c r="F971" s="26">
        <f t="shared" si="60"/>
        <v>0</v>
      </c>
    </row>
    <row r="972" spans="1:6" ht="15.75" x14ac:dyDescent="0.25">
      <c r="A972" s="236"/>
      <c r="B972" s="237"/>
      <c r="C972" s="26"/>
      <c r="D972" s="27"/>
      <c r="E972" s="28"/>
      <c r="F972" s="26">
        <f t="shared" si="60"/>
        <v>0</v>
      </c>
    </row>
    <row r="973" spans="1:6" ht="15.75" x14ac:dyDescent="0.25">
      <c r="A973" s="236"/>
      <c r="B973" s="237"/>
      <c r="C973" s="26"/>
      <c r="D973" s="27"/>
      <c r="E973" s="28"/>
      <c r="F973" s="26">
        <f t="shared" si="60"/>
        <v>0</v>
      </c>
    </row>
    <row r="974" spans="1:6" ht="15.75" x14ac:dyDescent="0.25">
      <c r="A974" s="236"/>
      <c r="B974" s="237"/>
      <c r="C974" s="26"/>
      <c r="D974" s="27"/>
      <c r="E974" s="28"/>
      <c r="F974" s="26">
        <f t="shared" si="60"/>
        <v>0</v>
      </c>
    </row>
    <row r="975" spans="1:6" ht="15.75" x14ac:dyDescent="0.25">
      <c r="A975" s="236"/>
      <c r="B975" s="237"/>
      <c r="C975" s="26"/>
      <c r="D975" s="27"/>
      <c r="E975" s="28"/>
      <c r="F975" s="26">
        <f t="shared" si="60"/>
        <v>0</v>
      </c>
    </row>
    <row r="976" spans="1:6" ht="15.75" x14ac:dyDescent="0.25">
      <c r="A976" s="39"/>
      <c r="B976" s="241" t="s">
        <v>14</v>
      </c>
      <c r="C976" s="241"/>
      <c r="D976" s="241"/>
      <c r="E976" s="62"/>
      <c r="F976" s="41">
        <f>SUM(F968:F975)</f>
        <v>0</v>
      </c>
    </row>
    <row r="977" spans="1:8" ht="15.75" x14ac:dyDescent="0.25">
      <c r="A977" s="249" t="s">
        <v>15</v>
      </c>
      <c r="B977" s="250"/>
      <c r="C977" s="22"/>
      <c r="D977" s="22"/>
      <c r="E977" s="22"/>
      <c r="F977" s="22"/>
    </row>
    <row r="978" spans="1:8" ht="15.75" x14ac:dyDescent="0.25">
      <c r="A978" s="251" t="s">
        <v>178</v>
      </c>
      <c r="B978" s="252"/>
      <c r="C978" s="65">
        <f>+D963</f>
        <v>1</v>
      </c>
      <c r="D978" s="66" t="s">
        <v>169</v>
      </c>
      <c r="E978" s="41">
        <v>250</v>
      </c>
      <c r="F978" s="41">
        <f t="shared" ref="F978:F983" si="61">+TRUNC(ROUND(E978*C978,2),2)</f>
        <v>250</v>
      </c>
    </row>
    <row r="979" spans="1:8" ht="15.75" x14ac:dyDescent="0.25">
      <c r="A979" s="236"/>
      <c r="B979" s="237"/>
      <c r="C979" s="28"/>
      <c r="D979" s="27"/>
      <c r="E979" s="26"/>
      <c r="F979" s="26">
        <f t="shared" si="61"/>
        <v>0</v>
      </c>
    </row>
    <row r="980" spans="1:8" ht="15.75" x14ac:dyDescent="0.25">
      <c r="A980" s="236"/>
      <c r="B980" s="237"/>
      <c r="C980" s="28"/>
      <c r="D980" s="27"/>
      <c r="E980" s="26"/>
      <c r="F980" s="26">
        <f t="shared" si="61"/>
        <v>0</v>
      </c>
    </row>
    <row r="981" spans="1:8" ht="15.75" x14ac:dyDescent="0.25">
      <c r="A981" s="236"/>
      <c r="B981" s="237"/>
      <c r="C981" s="28"/>
      <c r="D981" s="27"/>
      <c r="E981" s="26"/>
      <c r="F981" s="26">
        <f t="shared" si="61"/>
        <v>0</v>
      </c>
    </row>
    <row r="982" spans="1:8" ht="15.75" x14ac:dyDescent="0.25">
      <c r="A982" s="236"/>
      <c r="B982" s="237"/>
      <c r="C982" s="28"/>
      <c r="D982" s="27"/>
      <c r="E982" s="26"/>
      <c r="F982" s="26">
        <f t="shared" si="61"/>
        <v>0</v>
      </c>
    </row>
    <row r="983" spans="1:8" ht="15.75" x14ac:dyDescent="0.25">
      <c r="A983" s="236"/>
      <c r="B983" s="237"/>
      <c r="C983" s="28"/>
      <c r="D983" s="27"/>
      <c r="E983" s="26"/>
      <c r="F983" s="26">
        <f t="shared" si="61"/>
        <v>0</v>
      </c>
    </row>
    <row r="984" spans="1:8" ht="15.75" x14ac:dyDescent="0.25">
      <c r="A984" s="29"/>
      <c r="B984" s="30"/>
      <c r="C984" s="238" t="s">
        <v>96</v>
      </c>
      <c r="D984" s="239"/>
      <c r="E984" s="240"/>
      <c r="F984" s="26">
        <f>SUM(F978:F983)</f>
        <v>250</v>
      </c>
    </row>
    <row r="985" spans="1:8" ht="15.75" x14ac:dyDescent="0.25">
      <c r="A985" s="31"/>
      <c r="B985" s="68" t="s">
        <v>17</v>
      </c>
      <c r="C985" s="33">
        <f>+AYUDANTE</f>
        <v>40</v>
      </c>
      <c r="D985" s="27" t="s">
        <v>97</v>
      </c>
      <c r="E985" s="26"/>
      <c r="F985" s="23">
        <f>+TRUNC(ROUND(E985*C985,2),2)/100</f>
        <v>0</v>
      </c>
    </row>
    <row r="986" spans="1:8" ht="15.75" x14ac:dyDescent="0.25">
      <c r="A986" s="34"/>
      <c r="B986" s="35" t="s">
        <v>18</v>
      </c>
      <c r="C986" s="36">
        <f>+PRESTACIONES</f>
        <v>40</v>
      </c>
      <c r="D986" s="37" t="s">
        <v>97</v>
      </c>
      <c r="E986" s="38"/>
      <c r="F986" s="38">
        <f>+TRUNC(ROUND(E986*C986,2),2)/100</f>
        <v>0</v>
      </c>
    </row>
    <row r="987" spans="1:8" ht="15.75" x14ac:dyDescent="0.25">
      <c r="A987" s="39"/>
      <c r="B987" s="241" t="s">
        <v>16</v>
      </c>
      <c r="C987" s="241"/>
      <c r="D987" s="242"/>
      <c r="E987" s="40"/>
      <c r="F987" s="41">
        <f>+F986+F985+F984</f>
        <v>250</v>
      </c>
    </row>
    <row r="988" spans="1:8" ht="15" customHeight="1" x14ac:dyDescent="0.25">
      <c r="A988" s="22"/>
      <c r="B988" s="22"/>
      <c r="C988" s="22"/>
      <c r="D988" s="234" t="s">
        <v>98</v>
      </c>
      <c r="E988" s="235"/>
      <c r="F988" s="42">
        <f>+F987+F976</f>
        <v>250</v>
      </c>
      <c r="G988" s="17">
        <f>+F988</f>
        <v>250</v>
      </c>
      <c r="H988" s="17">
        <f>+F976+F987+F990</f>
        <v>350</v>
      </c>
    </row>
    <row r="989" spans="1:8" ht="17.25" customHeight="1" x14ac:dyDescent="0.25">
      <c r="A989" s="22"/>
      <c r="B989" s="22"/>
      <c r="C989" s="22"/>
      <c r="D989" s="234" t="s">
        <v>99</v>
      </c>
      <c r="E989" s="235"/>
      <c r="F989" s="43">
        <f>+TRUNC(ROUND(F988/D963,2),2)</f>
        <v>250</v>
      </c>
      <c r="H989" s="18"/>
    </row>
    <row r="990" spans="1:8" ht="16.5" customHeight="1" x14ac:dyDescent="0.25">
      <c r="A990" s="22"/>
      <c r="B990" s="22"/>
      <c r="C990" s="22"/>
      <c r="D990" s="234" t="s">
        <v>100</v>
      </c>
      <c r="E990" s="235"/>
      <c r="F990" s="42">
        <f>+F989*INDIRECTOS</f>
        <v>100</v>
      </c>
      <c r="H990" s="17"/>
    </row>
    <row r="991" spans="1:8" ht="15.75" customHeight="1" x14ac:dyDescent="0.25">
      <c r="A991" s="22"/>
      <c r="B991" s="22"/>
      <c r="C991" s="22"/>
      <c r="D991" s="234" t="s">
        <v>101</v>
      </c>
      <c r="E991" s="235"/>
      <c r="F991" s="44">
        <f>+F990+F989</f>
        <v>350</v>
      </c>
    </row>
    <row r="992" spans="1:8" ht="15.75" customHeight="1" x14ac:dyDescent="0.25">
      <c r="A992" s="22"/>
      <c r="B992" s="22"/>
      <c r="C992" s="22"/>
      <c r="D992" s="63"/>
      <c r="E992" s="63"/>
      <c r="F992" s="64"/>
    </row>
    <row r="993" spans="1:6" ht="67.5" customHeight="1" x14ac:dyDescent="0.25">
      <c r="A993" s="45" t="s">
        <v>2</v>
      </c>
      <c r="B993" s="69">
        <v>15</v>
      </c>
      <c r="C993" s="46" t="s">
        <v>3</v>
      </c>
      <c r="D993" s="47" t="s">
        <v>107</v>
      </c>
      <c r="E993" s="48" t="s">
        <v>5</v>
      </c>
      <c r="F993" s="91" t="s">
        <v>206</v>
      </c>
    </row>
    <row r="994" spans="1:6" ht="75" customHeight="1" x14ac:dyDescent="0.25">
      <c r="A994" s="49" t="s">
        <v>0</v>
      </c>
      <c r="B994" s="83" t="s">
        <v>210</v>
      </c>
      <c r="C994" s="50" t="s">
        <v>4</v>
      </c>
      <c r="D994" s="85">
        <v>5.3</v>
      </c>
      <c r="E994" s="51" t="s">
        <v>7</v>
      </c>
      <c r="F994" s="21" t="s">
        <v>106</v>
      </c>
    </row>
    <row r="995" spans="1:6" ht="15.75" x14ac:dyDescent="0.25">
      <c r="A995" s="52" t="s">
        <v>1</v>
      </c>
      <c r="B995" s="70">
        <v>15.1</v>
      </c>
      <c r="C995" s="53"/>
      <c r="D995" s="54"/>
      <c r="E995" s="55" t="s">
        <v>6</v>
      </c>
      <c r="F995" s="56" t="e">
        <f>+#REF!</f>
        <v>#REF!</v>
      </c>
    </row>
    <row r="996" spans="1:6" ht="15.75" x14ac:dyDescent="0.25">
      <c r="A996" s="57"/>
      <c r="B996" s="57"/>
      <c r="C996" s="57"/>
      <c r="D996" s="57"/>
      <c r="E996" s="57"/>
      <c r="F996" s="57"/>
    </row>
    <row r="997" spans="1:6" ht="28.5" x14ac:dyDescent="0.25">
      <c r="A997" s="243" t="s">
        <v>9</v>
      </c>
      <c r="B997" s="244"/>
      <c r="C997" s="67" t="s">
        <v>10</v>
      </c>
      <c r="D997" s="59" t="s">
        <v>11</v>
      </c>
      <c r="E997" s="60" t="s">
        <v>12</v>
      </c>
      <c r="F997" s="61" t="s">
        <v>13</v>
      </c>
    </row>
    <row r="998" spans="1:6" ht="15.75" x14ac:dyDescent="0.25">
      <c r="A998" s="245" t="s">
        <v>8</v>
      </c>
      <c r="B998" s="246"/>
      <c r="C998" s="22"/>
      <c r="D998" s="22"/>
      <c r="E998" s="22"/>
      <c r="F998" s="22"/>
    </row>
    <row r="999" spans="1:6" ht="15.75" x14ac:dyDescent="0.25">
      <c r="A999" s="247"/>
      <c r="B999" s="248"/>
      <c r="C999" s="23"/>
      <c r="D999" s="24"/>
      <c r="E999" s="25"/>
      <c r="F999" s="23">
        <f t="shared" ref="F999:F1006" si="62">+TRUNC(ROUND(E999*C999,2),2)</f>
        <v>0</v>
      </c>
    </row>
    <row r="1000" spans="1:6" ht="15.75" x14ac:dyDescent="0.25">
      <c r="A1000" s="236"/>
      <c r="B1000" s="237"/>
      <c r="C1000" s="26"/>
      <c r="D1000" s="27"/>
      <c r="E1000" s="28"/>
      <c r="F1000" s="26">
        <f t="shared" si="62"/>
        <v>0</v>
      </c>
    </row>
    <row r="1001" spans="1:6" ht="15.75" x14ac:dyDescent="0.25">
      <c r="A1001" s="236"/>
      <c r="B1001" s="237"/>
      <c r="C1001" s="26"/>
      <c r="D1001" s="27"/>
      <c r="E1001" s="28"/>
      <c r="F1001" s="26">
        <f t="shared" si="62"/>
        <v>0</v>
      </c>
    </row>
    <row r="1002" spans="1:6" ht="15.75" x14ac:dyDescent="0.25">
      <c r="A1002" s="236"/>
      <c r="B1002" s="237"/>
      <c r="C1002" s="26"/>
      <c r="D1002" s="27"/>
      <c r="E1002" s="28"/>
      <c r="F1002" s="26">
        <f t="shared" si="62"/>
        <v>0</v>
      </c>
    </row>
    <row r="1003" spans="1:6" ht="15.75" x14ac:dyDescent="0.25">
      <c r="A1003" s="236"/>
      <c r="B1003" s="237"/>
      <c r="C1003" s="26"/>
      <c r="D1003" s="27"/>
      <c r="E1003" s="28"/>
      <c r="F1003" s="26">
        <f t="shared" si="62"/>
        <v>0</v>
      </c>
    </row>
    <row r="1004" spans="1:6" ht="15.75" x14ac:dyDescent="0.25">
      <c r="A1004" s="236"/>
      <c r="B1004" s="237"/>
      <c r="C1004" s="26"/>
      <c r="D1004" s="27"/>
      <c r="E1004" s="28"/>
      <c r="F1004" s="26">
        <f t="shared" si="62"/>
        <v>0</v>
      </c>
    </row>
    <row r="1005" spans="1:6" ht="15.75" x14ac:dyDescent="0.25">
      <c r="A1005" s="236"/>
      <c r="B1005" s="237"/>
      <c r="C1005" s="26"/>
      <c r="D1005" s="27"/>
      <c r="E1005" s="28"/>
      <c r="F1005" s="26">
        <f t="shared" si="62"/>
        <v>0</v>
      </c>
    </row>
    <row r="1006" spans="1:6" ht="15.75" x14ac:dyDescent="0.25">
      <c r="A1006" s="236"/>
      <c r="B1006" s="237"/>
      <c r="C1006" s="26"/>
      <c r="D1006" s="27"/>
      <c r="E1006" s="28"/>
      <c r="F1006" s="26">
        <f t="shared" si="62"/>
        <v>0</v>
      </c>
    </row>
    <row r="1007" spans="1:6" ht="15.75" x14ac:dyDescent="0.25">
      <c r="A1007" s="39"/>
      <c r="B1007" s="241" t="s">
        <v>14</v>
      </c>
      <c r="C1007" s="241"/>
      <c r="D1007" s="241"/>
      <c r="E1007" s="62"/>
      <c r="F1007" s="41">
        <f>SUM(F999:F1006)</f>
        <v>0</v>
      </c>
    </row>
    <row r="1008" spans="1:6" ht="15.75" x14ac:dyDescent="0.25">
      <c r="A1008" s="249" t="s">
        <v>15</v>
      </c>
      <c r="B1008" s="250"/>
      <c r="C1008" s="22"/>
      <c r="D1008" s="22"/>
      <c r="E1008" s="22"/>
      <c r="F1008" s="22"/>
    </row>
    <row r="1009" spans="1:8" ht="15.75" x14ac:dyDescent="0.25">
      <c r="A1009" s="251" t="s">
        <v>105</v>
      </c>
      <c r="B1009" s="252"/>
      <c r="C1009" s="65">
        <f>+D994</f>
        <v>5.3</v>
      </c>
      <c r="D1009" s="66" t="s">
        <v>148</v>
      </c>
      <c r="E1009" s="41">
        <v>63.5</v>
      </c>
      <c r="F1009" s="41">
        <f t="shared" ref="F1009:F1014" si="63">+TRUNC(ROUND(E1009*C1009,2),2)</f>
        <v>336.55</v>
      </c>
    </row>
    <row r="1010" spans="1:8" ht="15.75" x14ac:dyDescent="0.25">
      <c r="A1010" s="236"/>
      <c r="B1010" s="237"/>
      <c r="C1010" s="28"/>
      <c r="D1010" s="27"/>
      <c r="E1010" s="26"/>
      <c r="F1010" s="26">
        <f t="shared" si="63"/>
        <v>0</v>
      </c>
    </row>
    <row r="1011" spans="1:8" ht="15.75" x14ac:dyDescent="0.25">
      <c r="A1011" s="236"/>
      <c r="B1011" s="237"/>
      <c r="C1011" s="28"/>
      <c r="D1011" s="27"/>
      <c r="E1011" s="26"/>
      <c r="F1011" s="26">
        <f t="shared" si="63"/>
        <v>0</v>
      </c>
    </row>
    <row r="1012" spans="1:8" ht="15.75" x14ac:dyDescent="0.25">
      <c r="A1012" s="236"/>
      <c r="B1012" s="237"/>
      <c r="C1012" s="28"/>
      <c r="D1012" s="27"/>
      <c r="E1012" s="26"/>
      <c r="F1012" s="26">
        <f t="shared" si="63"/>
        <v>0</v>
      </c>
    </row>
    <row r="1013" spans="1:8" ht="15.75" x14ac:dyDescent="0.25">
      <c r="A1013" s="236"/>
      <c r="B1013" s="237"/>
      <c r="C1013" s="28"/>
      <c r="D1013" s="27"/>
      <c r="E1013" s="26"/>
      <c r="F1013" s="26">
        <f t="shared" si="63"/>
        <v>0</v>
      </c>
    </row>
    <row r="1014" spans="1:8" ht="15.75" x14ac:dyDescent="0.25">
      <c r="A1014" s="236"/>
      <c r="B1014" s="237"/>
      <c r="C1014" s="28"/>
      <c r="D1014" s="27"/>
      <c r="E1014" s="26"/>
      <c r="F1014" s="26">
        <f t="shared" si="63"/>
        <v>0</v>
      </c>
    </row>
    <row r="1015" spans="1:8" ht="15.75" x14ac:dyDescent="0.25">
      <c r="A1015" s="29"/>
      <c r="B1015" s="30"/>
      <c r="C1015" s="238" t="s">
        <v>96</v>
      </c>
      <c r="D1015" s="239"/>
      <c r="E1015" s="240"/>
      <c r="F1015" s="26">
        <f>SUM(F1009:F1014)</f>
        <v>336.55</v>
      </c>
    </row>
    <row r="1016" spans="1:8" ht="15.75" x14ac:dyDescent="0.25">
      <c r="A1016" s="31"/>
      <c r="B1016" s="68" t="s">
        <v>17</v>
      </c>
      <c r="C1016" s="33">
        <f>+AYUDANTE</f>
        <v>40</v>
      </c>
      <c r="D1016" s="27" t="s">
        <v>97</v>
      </c>
      <c r="E1016" s="26"/>
      <c r="F1016" s="23">
        <f>+TRUNC(ROUND(E1016*C1016,2),2)/100</f>
        <v>0</v>
      </c>
    </row>
    <row r="1017" spans="1:8" ht="15.75" x14ac:dyDescent="0.25">
      <c r="A1017" s="34"/>
      <c r="B1017" s="35" t="s">
        <v>18</v>
      </c>
      <c r="C1017" s="36">
        <f>+PRESTACIONES</f>
        <v>40</v>
      </c>
      <c r="D1017" s="37" t="s">
        <v>97</v>
      </c>
      <c r="E1017" s="38"/>
      <c r="F1017" s="38">
        <f>+TRUNC(ROUND(E1017*C1017,2),2)/100</f>
        <v>0</v>
      </c>
    </row>
    <row r="1018" spans="1:8" ht="15.75" x14ac:dyDescent="0.25">
      <c r="A1018" s="39"/>
      <c r="B1018" s="241" t="s">
        <v>16</v>
      </c>
      <c r="C1018" s="241"/>
      <c r="D1018" s="242"/>
      <c r="E1018" s="40"/>
      <c r="F1018" s="41">
        <f>+F1017+F1016+F1015</f>
        <v>336.55</v>
      </c>
    </row>
    <row r="1019" spans="1:8" ht="15" customHeight="1" x14ac:dyDescent="0.25">
      <c r="A1019" s="22"/>
      <c r="B1019" s="22"/>
      <c r="C1019" s="22"/>
      <c r="D1019" s="234" t="s">
        <v>98</v>
      </c>
      <c r="E1019" s="235"/>
      <c r="F1019" s="42">
        <f>+F1018+F1007</f>
        <v>336.55</v>
      </c>
      <c r="G1019" s="17">
        <f>+F1019</f>
        <v>336.55</v>
      </c>
      <c r="H1019" s="17">
        <f>+F1007+F1018+F1021</f>
        <v>361.95</v>
      </c>
    </row>
    <row r="1020" spans="1:8" ht="17.25" customHeight="1" x14ac:dyDescent="0.25">
      <c r="A1020" s="22"/>
      <c r="B1020" s="22"/>
      <c r="C1020" s="22"/>
      <c r="D1020" s="234" t="s">
        <v>99</v>
      </c>
      <c r="E1020" s="235"/>
      <c r="F1020" s="43">
        <f>+TRUNC(ROUND(F1019/D994,2),2)</f>
        <v>63.5</v>
      </c>
      <c r="H1020" s="18"/>
    </row>
    <row r="1021" spans="1:8" ht="16.5" customHeight="1" x14ac:dyDescent="0.25">
      <c r="A1021" s="22"/>
      <c r="B1021" s="22"/>
      <c r="C1021" s="22"/>
      <c r="D1021" s="234" t="s">
        <v>100</v>
      </c>
      <c r="E1021" s="235"/>
      <c r="F1021" s="42">
        <f>+F1020*INDIRECTOS</f>
        <v>25.400000000000002</v>
      </c>
      <c r="H1021" s="17"/>
    </row>
    <row r="1022" spans="1:8" ht="15.75" customHeight="1" x14ac:dyDescent="0.25">
      <c r="A1022" s="22"/>
      <c r="B1022" s="22"/>
      <c r="C1022" s="22"/>
      <c r="D1022" s="234" t="s">
        <v>101</v>
      </c>
      <c r="E1022" s="235"/>
      <c r="F1022" s="44">
        <f>+F1021+F1020</f>
        <v>88.9</v>
      </c>
    </row>
    <row r="1023" spans="1:8" ht="15.75" customHeight="1" x14ac:dyDescent="0.25">
      <c r="A1023" s="22"/>
      <c r="B1023" s="22"/>
      <c r="C1023" s="22"/>
      <c r="D1023" s="63"/>
      <c r="E1023" s="63"/>
      <c r="F1023" s="64"/>
    </row>
    <row r="1025" spans="6:10" ht="21" x14ac:dyDescent="0.35">
      <c r="F1025" s="76" t="s">
        <v>129</v>
      </c>
      <c r="G1025" s="77">
        <f>SUM(G4:G1024)</f>
        <v>88265.35000000002</v>
      </c>
      <c r="H1025" s="78"/>
    </row>
    <row r="1026" spans="6:10" ht="21" x14ac:dyDescent="0.35">
      <c r="F1026" s="76" t="s">
        <v>131</v>
      </c>
      <c r="G1026" s="79">
        <v>68.98</v>
      </c>
      <c r="H1026" s="79" t="s">
        <v>107</v>
      </c>
      <c r="I1026" s="274" t="s">
        <v>209</v>
      </c>
      <c r="J1026" s="275"/>
    </row>
    <row r="1027" spans="6:10" ht="21" x14ac:dyDescent="0.35">
      <c r="F1027" s="76" t="s">
        <v>132</v>
      </c>
      <c r="G1027" s="77">
        <f>+G1025/G1026</f>
        <v>1279.5788634386781</v>
      </c>
      <c r="H1027" s="79" t="s">
        <v>107</v>
      </c>
    </row>
  </sheetData>
  <mergeCells count="783">
    <mergeCell ref="D219:E219"/>
    <mergeCell ref="D220:E220"/>
    <mergeCell ref="B270:D270"/>
    <mergeCell ref="A271:B271"/>
    <mergeCell ref="A276:B276"/>
    <mergeCell ref="A277:B277"/>
    <mergeCell ref="A259:B259"/>
    <mergeCell ref="A260:B260"/>
    <mergeCell ref="A261:B261"/>
    <mergeCell ref="A268:B268"/>
    <mergeCell ref="A263:B263"/>
    <mergeCell ref="A265:B265"/>
    <mergeCell ref="A266:B266"/>
    <mergeCell ref="A267:B267"/>
    <mergeCell ref="I1026:J1026"/>
    <mergeCell ref="D221:E221"/>
    <mergeCell ref="A269:B269"/>
    <mergeCell ref="A264:B264"/>
    <mergeCell ref="A301:B301"/>
    <mergeCell ref="C183:E183"/>
    <mergeCell ref="D187:E187"/>
    <mergeCell ref="D188:E188"/>
    <mergeCell ref="D189:E189"/>
    <mergeCell ref="D190:E190"/>
    <mergeCell ref="A272:B272"/>
    <mergeCell ref="A273:B273"/>
    <mergeCell ref="A274:B274"/>
    <mergeCell ref="A275:B275"/>
    <mergeCell ref="A202:B202"/>
    <mergeCell ref="A203:B203"/>
    <mergeCell ref="A204:B204"/>
    <mergeCell ref="A205:B205"/>
    <mergeCell ref="B206:D206"/>
    <mergeCell ref="A207:B207"/>
    <mergeCell ref="A208:B208"/>
    <mergeCell ref="A209:B209"/>
    <mergeCell ref="A210:B210"/>
    <mergeCell ref="A211:B211"/>
    <mergeCell ref="A212:B212"/>
    <mergeCell ref="A213:B213"/>
    <mergeCell ref="C214:E214"/>
    <mergeCell ref="B217:D217"/>
    <mergeCell ref="D218:E218"/>
    <mergeCell ref="A196:B196"/>
    <mergeCell ref="A197:B197"/>
    <mergeCell ref="A198:B198"/>
    <mergeCell ref="A199:B199"/>
    <mergeCell ref="A200:B200"/>
    <mergeCell ref="A201:B201"/>
    <mergeCell ref="B186:D186"/>
    <mergeCell ref="A179:B179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B175:D175"/>
    <mergeCell ref="A81:B81"/>
    <mergeCell ref="D159:E159"/>
    <mergeCell ref="A176:B176"/>
    <mergeCell ref="A177:B177"/>
    <mergeCell ref="A146:B146"/>
    <mergeCell ref="A147:B147"/>
    <mergeCell ref="A180:B180"/>
    <mergeCell ref="A181:B181"/>
    <mergeCell ref="A182:B182"/>
    <mergeCell ref="A148:B148"/>
    <mergeCell ref="A149:B149"/>
    <mergeCell ref="A145:B145"/>
    <mergeCell ref="A151:B151"/>
    <mergeCell ref="A150:B150"/>
    <mergeCell ref="B155:D155"/>
    <mergeCell ref="D156:E156"/>
    <mergeCell ref="D157:E157"/>
    <mergeCell ref="D158:E158"/>
    <mergeCell ref="A138:B138"/>
    <mergeCell ref="A111:B111"/>
    <mergeCell ref="B113:D113"/>
    <mergeCell ref="A114:B114"/>
    <mergeCell ref="A115:B115"/>
    <mergeCell ref="A116:B116"/>
    <mergeCell ref="A178:B178"/>
    <mergeCell ref="A139:B139"/>
    <mergeCell ref="A140:B140"/>
    <mergeCell ref="A141:B141"/>
    <mergeCell ref="A142:B142"/>
    <mergeCell ref="A119:B119"/>
    <mergeCell ref="A112:B112"/>
    <mergeCell ref="B144:D144"/>
    <mergeCell ref="C152:E152"/>
    <mergeCell ref="A143:B143"/>
    <mergeCell ref="B124:D124"/>
    <mergeCell ref="D125:E125"/>
    <mergeCell ref="D126:E126"/>
    <mergeCell ref="D127:E127"/>
    <mergeCell ref="D128:E128"/>
    <mergeCell ref="A82:B82"/>
    <mergeCell ref="A83:B83"/>
    <mergeCell ref="A84:B84"/>
    <mergeCell ref="A85:B85"/>
    <mergeCell ref="A86:B86"/>
    <mergeCell ref="A87:B87"/>
    <mergeCell ref="C88:E88"/>
    <mergeCell ref="B91:D91"/>
    <mergeCell ref="D92:E92"/>
    <mergeCell ref="D93:E93"/>
    <mergeCell ref="A117:B117"/>
    <mergeCell ref="A118:B118"/>
    <mergeCell ref="B17:D17"/>
    <mergeCell ref="A120:B120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C56:E56"/>
    <mergeCell ref="D32:E32"/>
    <mergeCell ref="A50:B50"/>
    <mergeCell ref="A51:B51"/>
    <mergeCell ref="A43:B43"/>
    <mergeCell ref="A44:B44"/>
    <mergeCell ref="A45:B45"/>
    <mergeCell ref="A46:B46"/>
    <mergeCell ref="A47:B47"/>
    <mergeCell ref="A38:B38"/>
    <mergeCell ref="A18:B18"/>
    <mergeCell ref="B28:D28"/>
    <mergeCell ref="D29:E29"/>
    <mergeCell ref="C25:E25"/>
    <mergeCell ref="A23:B23"/>
    <mergeCell ref="A24:B24"/>
    <mergeCell ref="D30:E30"/>
    <mergeCell ref="D31:E31"/>
    <mergeCell ref="A39:B39"/>
    <mergeCell ref="A19:B19"/>
    <mergeCell ref="A1:F1"/>
    <mergeCell ref="A12:B12"/>
    <mergeCell ref="A13:B13"/>
    <mergeCell ref="A14:B14"/>
    <mergeCell ref="A16:B16"/>
    <mergeCell ref="A7:B7"/>
    <mergeCell ref="A8:B8"/>
    <mergeCell ref="A9:B9"/>
    <mergeCell ref="A10:B10"/>
    <mergeCell ref="A11:B11"/>
    <mergeCell ref="A15:B15"/>
    <mergeCell ref="A20:B20"/>
    <mergeCell ref="A21:B21"/>
    <mergeCell ref="A22:B22"/>
    <mergeCell ref="D61:E61"/>
    <mergeCell ref="D62:E62"/>
    <mergeCell ref="D63:E63"/>
    <mergeCell ref="A52:B52"/>
    <mergeCell ref="A53:B53"/>
    <mergeCell ref="A54:B54"/>
    <mergeCell ref="A55:B55"/>
    <mergeCell ref="B48:D48"/>
    <mergeCell ref="A49:B49"/>
    <mergeCell ref="A40:B40"/>
    <mergeCell ref="A41:B41"/>
    <mergeCell ref="A42:B42"/>
    <mergeCell ref="A69:B69"/>
    <mergeCell ref="A70:B70"/>
    <mergeCell ref="B59:D59"/>
    <mergeCell ref="D60:E60"/>
    <mergeCell ref="A71:B71"/>
    <mergeCell ref="A72:B72"/>
    <mergeCell ref="A73:B73"/>
    <mergeCell ref="A74:B74"/>
    <mergeCell ref="A262:B262"/>
    <mergeCell ref="A241:B241"/>
    <mergeCell ref="A242:B242"/>
    <mergeCell ref="A243:B243"/>
    <mergeCell ref="A244:B244"/>
    <mergeCell ref="A75:B75"/>
    <mergeCell ref="A76:B76"/>
    <mergeCell ref="A77:B77"/>
    <mergeCell ref="A78:B78"/>
    <mergeCell ref="A79:B79"/>
    <mergeCell ref="B80:D80"/>
    <mergeCell ref="A134:B134"/>
    <mergeCell ref="A135:B135"/>
    <mergeCell ref="A136:B136"/>
    <mergeCell ref="A137:B137"/>
    <mergeCell ref="C121:E121"/>
    <mergeCell ref="A295:B295"/>
    <mergeCell ref="A296:B296"/>
    <mergeCell ref="A297:B297"/>
    <mergeCell ref="A298:B298"/>
    <mergeCell ref="A299:B299"/>
    <mergeCell ref="A300:B300"/>
    <mergeCell ref="A302:B302"/>
    <mergeCell ref="B303:D303"/>
    <mergeCell ref="A304:B304"/>
    <mergeCell ref="C278:E278"/>
    <mergeCell ref="B281:D281"/>
    <mergeCell ref="D282:E282"/>
    <mergeCell ref="D283:E283"/>
    <mergeCell ref="D284:E284"/>
    <mergeCell ref="D285:E285"/>
    <mergeCell ref="A291:B291"/>
    <mergeCell ref="A292:B292"/>
    <mergeCell ref="A294:B294"/>
    <mergeCell ref="A293:B293"/>
    <mergeCell ref="D316:E316"/>
    <mergeCell ref="D317:E317"/>
    <mergeCell ref="D318:E318"/>
    <mergeCell ref="A305:B305"/>
    <mergeCell ref="A306:B306"/>
    <mergeCell ref="A307:B307"/>
    <mergeCell ref="A308:B308"/>
    <mergeCell ref="A309:B309"/>
    <mergeCell ref="A310:B310"/>
    <mergeCell ref="C311:E311"/>
    <mergeCell ref="B314:D314"/>
    <mergeCell ref="D315:E315"/>
    <mergeCell ref="C344:E344"/>
    <mergeCell ref="B347:D347"/>
    <mergeCell ref="D348:E348"/>
    <mergeCell ref="D349:E349"/>
    <mergeCell ref="D350:E350"/>
    <mergeCell ref="D351:E351"/>
    <mergeCell ref="A357:B357"/>
    <mergeCell ref="A358:B358"/>
    <mergeCell ref="A359:B359"/>
    <mergeCell ref="A341:B341"/>
    <mergeCell ref="A342:B342"/>
    <mergeCell ref="A343:B343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5:B335"/>
    <mergeCell ref="B336:D336"/>
    <mergeCell ref="A337:B337"/>
    <mergeCell ref="A338:B338"/>
    <mergeCell ref="A339:B339"/>
    <mergeCell ref="A340:B340"/>
    <mergeCell ref="D383:E383"/>
    <mergeCell ref="C376:E376"/>
    <mergeCell ref="B379:D379"/>
    <mergeCell ref="D380:E380"/>
    <mergeCell ref="A360:B360"/>
    <mergeCell ref="A361:B361"/>
    <mergeCell ref="A362:B362"/>
    <mergeCell ref="A363:B363"/>
    <mergeCell ref="A364:B364"/>
    <mergeCell ref="A365:B365"/>
    <mergeCell ref="A367:B367"/>
    <mergeCell ref="B368:D368"/>
    <mergeCell ref="A369:B369"/>
    <mergeCell ref="A370:B370"/>
    <mergeCell ref="A371:B371"/>
    <mergeCell ref="A372:B372"/>
    <mergeCell ref="A373:B373"/>
    <mergeCell ref="A374:B374"/>
    <mergeCell ref="A375:B375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C409:E409"/>
    <mergeCell ref="B412:D412"/>
    <mergeCell ref="D413:E413"/>
    <mergeCell ref="D414:E414"/>
    <mergeCell ref="D415:E415"/>
    <mergeCell ref="D416:E416"/>
    <mergeCell ref="A422:B422"/>
    <mergeCell ref="A423:B423"/>
    <mergeCell ref="A424:B424"/>
    <mergeCell ref="A400:B400"/>
    <mergeCell ref="B401:D401"/>
    <mergeCell ref="A402:B402"/>
    <mergeCell ref="A403:B403"/>
    <mergeCell ref="A404:B404"/>
    <mergeCell ref="A405:B405"/>
    <mergeCell ref="A406:B406"/>
    <mergeCell ref="A407:B407"/>
    <mergeCell ref="A408:B408"/>
    <mergeCell ref="A435:B435"/>
    <mergeCell ref="A436:B436"/>
    <mergeCell ref="A437:B437"/>
    <mergeCell ref="A438:B438"/>
    <mergeCell ref="A439:B439"/>
    <mergeCell ref="A440:B440"/>
    <mergeCell ref="C441:E441"/>
    <mergeCell ref="B444:D444"/>
    <mergeCell ref="D445:E445"/>
    <mergeCell ref="A425:B425"/>
    <mergeCell ref="A426:B426"/>
    <mergeCell ref="A427:B427"/>
    <mergeCell ref="A428:B428"/>
    <mergeCell ref="A429:B429"/>
    <mergeCell ref="A430:B430"/>
    <mergeCell ref="A432:B432"/>
    <mergeCell ref="B433:D433"/>
    <mergeCell ref="A434:B434"/>
    <mergeCell ref="A460:B460"/>
    <mergeCell ref="A461:B461"/>
    <mergeCell ref="A462:B462"/>
    <mergeCell ref="A464:B464"/>
    <mergeCell ref="B465:D465"/>
    <mergeCell ref="A466:B466"/>
    <mergeCell ref="A467:B467"/>
    <mergeCell ref="A468:B468"/>
    <mergeCell ref="A469:B469"/>
    <mergeCell ref="D446:E446"/>
    <mergeCell ref="D447:E447"/>
    <mergeCell ref="D448:E448"/>
    <mergeCell ref="A454:B454"/>
    <mergeCell ref="A455:B455"/>
    <mergeCell ref="A456:B456"/>
    <mergeCell ref="A457:B457"/>
    <mergeCell ref="A458:B458"/>
    <mergeCell ref="A459:B459"/>
    <mergeCell ref="A470:B470"/>
    <mergeCell ref="A471:B471"/>
    <mergeCell ref="A472:B472"/>
    <mergeCell ref="C473:E473"/>
    <mergeCell ref="B476:D476"/>
    <mergeCell ref="D477:E477"/>
    <mergeCell ref="D478:E478"/>
    <mergeCell ref="D479:E479"/>
    <mergeCell ref="D480:E480"/>
    <mergeCell ref="A519:B519"/>
    <mergeCell ref="A520:B520"/>
    <mergeCell ref="A521:B521"/>
    <mergeCell ref="A532:B532"/>
    <mergeCell ref="A533:B533"/>
    <mergeCell ref="A534:B534"/>
    <mergeCell ref="A535:B535"/>
    <mergeCell ref="A536:B536"/>
    <mergeCell ref="A537:B537"/>
    <mergeCell ref="C538:E538"/>
    <mergeCell ref="B541:D541"/>
    <mergeCell ref="D542:E542"/>
    <mergeCell ref="A522:B522"/>
    <mergeCell ref="A523:B523"/>
    <mergeCell ref="A524:B524"/>
    <mergeCell ref="A525:B525"/>
    <mergeCell ref="A526:B526"/>
    <mergeCell ref="A527:B527"/>
    <mergeCell ref="A529:B529"/>
    <mergeCell ref="B530:D530"/>
    <mergeCell ref="A531:B531"/>
    <mergeCell ref="A562:B562"/>
    <mergeCell ref="A563:B563"/>
    <mergeCell ref="A564:B564"/>
    <mergeCell ref="A568:B568"/>
    <mergeCell ref="B569:D569"/>
    <mergeCell ref="A570:B570"/>
    <mergeCell ref="A571:B571"/>
    <mergeCell ref="A572:B572"/>
    <mergeCell ref="A573:B573"/>
    <mergeCell ref="D543:E543"/>
    <mergeCell ref="D544:E544"/>
    <mergeCell ref="D545:E545"/>
    <mergeCell ref="A551:B551"/>
    <mergeCell ref="A552:B552"/>
    <mergeCell ref="A553:B553"/>
    <mergeCell ref="A559:B559"/>
    <mergeCell ref="A560:B560"/>
    <mergeCell ref="A561:B561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74:B574"/>
    <mergeCell ref="A575:B575"/>
    <mergeCell ref="A576:B576"/>
    <mergeCell ref="C577:E577"/>
    <mergeCell ref="B580:D580"/>
    <mergeCell ref="D581:E581"/>
    <mergeCell ref="D582:E582"/>
    <mergeCell ref="D583:E583"/>
    <mergeCell ref="D584:E584"/>
    <mergeCell ref="A632:B632"/>
    <mergeCell ref="C608:E608"/>
    <mergeCell ref="B611:D611"/>
    <mergeCell ref="D612:E612"/>
    <mergeCell ref="D613:E613"/>
    <mergeCell ref="D614:E614"/>
    <mergeCell ref="D615:E615"/>
    <mergeCell ref="A621:B621"/>
    <mergeCell ref="A622:B622"/>
    <mergeCell ref="A623:B623"/>
    <mergeCell ref="A624:B624"/>
    <mergeCell ref="A625:B625"/>
    <mergeCell ref="A653:B653"/>
    <mergeCell ref="A654:B654"/>
    <mergeCell ref="A655:B655"/>
    <mergeCell ref="A656:B656"/>
    <mergeCell ref="A657:B657"/>
    <mergeCell ref="A658:B658"/>
    <mergeCell ref="A668:B668"/>
    <mergeCell ref="A669:B669"/>
    <mergeCell ref="A670:B670"/>
    <mergeCell ref="C671:E671"/>
    <mergeCell ref="B674:D674"/>
    <mergeCell ref="D675:E675"/>
    <mergeCell ref="D676:E676"/>
    <mergeCell ref="D677:E677"/>
    <mergeCell ref="D678:E678"/>
    <mergeCell ref="A659:B659"/>
    <mergeCell ref="A660:B660"/>
    <mergeCell ref="A661:B661"/>
    <mergeCell ref="A662:B662"/>
    <mergeCell ref="B663:D663"/>
    <mergeCell ref="A664:B664"/>
    <mergeCell ref="A665:B665"/>
    <mergeCell ref="A666:B666"/>
    <mergeCell ref="A667:B667"/>
    <mergeCell ref="A693:B693"/>
    <mergeCell ref="B694:D694"/>
    <mergeCell ref="A695:B695"/>
    <mergeCell ref="A696:B696"/>
    <mergeCell ref="A697:B697"/>
    <mergeCell ref="A698:B698"/>
    <mergeCell ref="A699:B699"/>
    <mergeCell ref="A700:B700"/>
    <mergeCell ref="A701:B701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2:B692"/>
    <mergeCell ref="A718:B718"/>
    <mergeCell ref="A719:B719"/>
    <mergeCell ref="A720:B720"/>
    <mergeCell ref="A721:B721"/>
    <mergeCell ref="A722:B722"/>
    <mergeCell ref="A723:B723"/>
    <mergeCell ref="A724:B724"/>
    <mergeCell ref="B725:D725"/>
    <mergeCell ref="A726:B726"/>
    <mergeCell ref="C702:E702"/>
    <mergeCell ref="B705:D705"/>
    <mergeCell ref="D706:E706"/>
    <mergeCell ref="D707:E707"/>
    <mergeCell ref="D708:E708"/>
    <mergeCell ref="D709:E709"/>
    <mergeCell ref="A715:B715"/>
    <mergeCell ref="A716:B716"/>
    <mergeCell ref="A717:B717"/>
    <mergeCell ref="D738:E738"/>
    <mergeCell ref="D739:E739"/>
    <mergeCell ref="D740:E740"/>
    <mergeCell ref="A746:B746"/>
    <mergeCell ref="A747:B747"/>
    <mergeCell ref="A748:B748"/>
    <mergeCell ref="A749:B749"/>
    <mergeCell ref="A750:B750"/>
    <mergeCell ref="A751:B751"/>
    <mergeCell ref="A727:B727"/>
    <mergeCell ref="A728:B728"/>
    <mergeCell ref="A729:B729"/>
    <mergeCell ref="A730:B730"/>
    <mergeCell ref="A731:B731"/>
    <mergeCell ref="A732:B732"/>
    <mergeCell ref="C733:E733"/>
    <mergeCell ref="B736:D736"/>
    <mergeCell ref="D737:E737"/>
    <mergeCell ref="A761:B761"/>
    <mergeCell ref="A762:B762"/>
    <mergeCell ref="A763:B763"/>
    <mergeCell ref="C764:E764"/>
    <mergeCell ref="B767:D767"/>
    <mergeCell ref="D768:E768"/>
    <mergeCell ref="D769:E769"/>
    <mergeCell ref="D770:E770"/>
    <mergeCell ref="D771:E771"/>
    <mergeCell ref="A752:B752"/>
    <mergeCell ref="A753:B753"/>
    <mergeCell ref="A754:B754"/>
    <mergeCell ref="A755:B755"/>
    <mergeCell ref="B756:D756"/>
    <mergeCell ref="A757:B757"/>
    <mergeCell ref="A758:B758"/>
    <mergeCell ref="A759:B759"/>
    <mergeCell ref="A760:B760"/>
    <mergeCell ref="A790:B790"/>
    <mergeCell ref="A791:B791"/>
    <mergeCell ref="A792:B792"/>
    <mergeCell ref="A793:B793"/>
    <mergeCell ref="A794:B794"/>
    <mergeCell ref="A777:B777"/>
    <mergeCell ref="A778:B778"/>
    <mergeCell ref="A779:B779"/>
    <mergeCell ref="A780:B780"/>
    <mergeCell ref="A781:B781"/>
    <mergeCell ref="A782:B782"/>
    <mergeCell ref="A783:B783"/>
    <mergeCell ref="A784:B784"/>
    <mergeCell ref="A785:B785"/>
    <mergeCell ref="A786:B786"/>
    <mergeCell ref="B787:D787"/>
    <mergeCell ref="A788:B788"/>
    <mergeCell ref="A789:B789"/>
    <mergeCell ref="C795:E795"/>
    <mergeCell ref="B798:D798"/>
    <mergeCell ref="D799:E799"/>
    <mergeCell ref="D800:E800"/>
    <mergeCell ref="D801:E801"/>
    <mergeCell ref="D802:E802"/>
    <mergeCell ref="C826:E826"/>
    <mergeCell ref="B829:D829"/>
    <mergeCell ref="D832:E832"/>
    <mergeCell ref="B818:D818"/>
    <mergeCell ref="A819:B819"/>
    <mergeCell ref="A820:B820"/>
    <mergeCell ref="A821:B821"/>
    <mergeCell ref="A825:B825"/>
    <mergeCell ref="A808:B808"/>
    <mergeCell ref="A809:B809"/>
    <mergeCell ref="A810:B810"/>
    <mergeCell ref="A811:B811"/>
    <mergeCell ref="A812:B812"/>
    <mergeCell ref="A813:B813"/>
    <mergeCell ref="A814:B814"/>
    <mergeCell ref="A815:B815"/>
    <mergeCell ref="A816:B816"/>
    <mergeCell ref="A817:B817"/>
    <mergeCell ref="D833:E833"/>
    <mergeCell ref="A822:B822"/>
    <mergeCell ref="A823:B823"/>
    <mergeCell ref="A874:B874"/>
    <mergeCell ref="A875:B875"/>
    <mergeCell ref="A876:B876"/>
    <mergeCell ref="A877:B877"/>
    <mergeCell ref="A878:B878"/>
    <mergeCell ref="A879:B879"/>
    <mergeCell ref="D830:E830"/>
    <mergeCell ref="D831:E831"/>
    <mergeCell ref="A824:B824"/>
    <mergeCell ref="A848:B848"/>
    <mergeCell ref="A841:B841"/>
    <mergeCell ref="A842:B842"/>
    <mergeCell ref="A843:B843"/>
    <mergeCell ref="A844:B844"/>
    <mergeCell ref="A845:B845"/>
    <mergeCell ref="A846:B846"/>
    <mergeCell ref="A847:B847"/>
    <mergeCell ref="A840:B840"/>
    <mergeCell ref="A880:B880"/>
    <mergeCell ref="B881:D881"/>
    <mergeCell ref="A882:B882"/>
    <mergeCell ref="A849:B849"/>
    <mergeCell ref="B850:D850"/>
    <mergeCell ref="A851:B851"/>
    <mergeCell ref="A852:B852"/>
    <mergeCell ref="A853:B853"/>
    <mergeCell ref="A854:B854"/>
    <mergeCell ref="A855:B855"/>
    <mergeCell ref="A856:B856"/>
    <mergeCell ref="A857:B857"/>
    <mergeCell ref="A871:B871"/>
    <mergeCell ref="A872:B872"/>
    <mergeCell ref="A873:B873"/>
    <mergeCell ref="C858:E858"/>
    <mergeCell ref="B861:D861"/>
    <mergeCell ref="D862:E862"/>
    <mergeCell ref="D863:E863"/>
    <mergeCell ref="D864:E864"/>
    <mergeCell ref="D865:E865"/>
    <mergeCell ref="D894:E894"/>
    <mergeCell ref="D895:E895"/>
    <mergeCell ref="D896:E896"/>
    <mergeCell ref="A883:B883"/>
    <mergeCell ref="A884:B884"/>
    <mergeCell ref="A885:B885"/>
    <mergeCell ref="A886:B886"/>
    <mergeCell ref="A887:B887"/>
    <mergeCell ref="A888:B888"/>
    <mergeCell ref="C889:E889"/>
    <mergeCell ref="B892:D892"/>
    <mergeCell ref="D893:E893"/>
    <mergeCell ref="A903:B903"/>
    <mergeCell ref="A904:B904"/>
    <mergeCell ref="A905:B905"/>
    <mergeCell ref="A906:B906"/>
    <mergeCell ref="A907:B907"/>
    <mergeCell ref="A908:B908"/>
    <mergeCell ref="A918:B918"/>
    <mergeCell ref="A919:B919"/>
    <mergeCell ref="A920:B920"/>
    <mergeCell ref="C921:E921"/>
    <mergeCell ref="B924:D924"/>
    <mergeCell ref="D925:E925"/>
    <mergeCell ref="D926:E926"/>
    <mergeCell ref="D927:E927"/>
    <mergeCell ref="D928:E928"/>
    <mergeCell ref="A909:B909"/>
    <mergeCell ref="A910:B910"/>
    <mergeCell ref="A911:B911"/>
    <mergeCell ref="A912:B912"/>
    <mergeCell ref="B913:D913"/>
    <mergeCell ref="A914:B914"/>
    <mergeCell ref="A915:B915"/>
    <mergeCell ref="A916:B916"/>
    <mergeCell ref="A917:B917"/>
    <mergeCell ref="A935:B935"/>
    <mergeCell ref="A936:B936"/>
    <mergeCell ref="A937:B937"/>
    <mergeCell ref="D958:E958"/>
    <mergeCell ref="D959:E959"/>
    <mergeCell ref="D960:E960"/>
    <mergeCell ref="A966:B966"/>
    <mergeCell ref="A967:B967"/>
    <mergeCell ref="A968:B968"/>
    <mergeCell ref="C953:E953"/>
    <mergeCell ref="A938:B938"/>
    <mergeCell ref="A939:B939"/>
    <mergeCell ref="A940:B940"/>
    <mergeCell ref="A941:B941"/>
    <mergeCell ref="A942:B942"/>
    <mergeCell ref="A943:B943"/>
    <mergeCell ref="A944:B944"/>
    <mergeCell ref="B945:D945"/>
    <mergeCell ref="A946:B946"/>
    <mergeCell ref="A969:B969"/>
    <mergeCell ref="A970:B970"/>
    <mergeCell ref="A971:B971"/>
    <mergeCell ref="A947:B947"/>
    <mergeCell ref="A948:B948"/>
    <mergeCell ref="A949:B949"/>
    <mergeCell ref="A950:B950"/>
    <mergeCell ref="A951:B951"/>
    <mergeCell ref="A952:B952"/>
    <mergeCell ref="B956:D956"/>
    <mergeCell ref="D957:E957"/>
    <mergeCell ref="C984:E984"/>
    <mergeCell ref="B987:D987"/>
    <mergeCell ref="D988:E988"/>
    <mergeCell ref="D989:E989"/>
    <mergeCell ref="D990:E990"/>
    <mergeCell ref="D991:E991"/>
    <mergeCell ref="A972:B972"/>
    <mergeCell ref="A973:B973"/>
    <mergeCell ref="A974:B974"/>
    <mergeCell ref="A975:B975"/>
    <mergeCell ref="B976:D976"/>
    <mergeCell ref="A977:B977"/>
    <mergeCell ref="A978:B978"/>
    <mergeCell ref="A979:B979"/>
    <mergeCell ref="A980:B980"/>
    <mergeCell ref="A981:B981"/>
    <mergeCell ref="A982:B982"/>
    <mergeCell ref="A983:B983"/>
    <mergeCell ref="A997:B997"/>
    <mergeCell ref="A998:B998"/>
    <mergeCell ref="A999:B999"/>
    <mergeCell ref="D1020:E1020"/>
    <mergeCell ref="D1021:E1021"/>
    <mergeCell ref="D1022:E1022"/>
    <mergeCell ref="A1009:B1009"/>
    <mergeCell ref="A1010:B1010"/>
    <mergeCell ref="A1011:B1011"/>
    <mergeCell ref="A1012:B1012"/>
    <mergeCell ref="A1013:B1013"/>
    <mergeCell ref="A1014:B1014"/>
    <mergeCell ref="C1015:E1015"/>
    <mergeCell ref="B1018:D1018"/>
    <mergeCell ref="D1019:E1019"/>
    <mergeCell ref="A1000:B1000"/>
    <mergeCell ref="A1001:B1001"/>
    <mergeCell ref="A1002:B1002"/>
    <mergeCell ref="A1003:B1003"/>
    <mergeCell ref="A1004:B1004"/>
    <mergeCell ref="A1005:B1005"/>
    <mergeCell ref="A1006:B1006"/>
    <mergeCell ref="B1007:D1007"/>
    <mergeCell ref="A1008:B1008"/>
    <mergeCell ref="D645:E645"/>
    <mergeCell ref="D646:E646"/>
    <mergeCell ref="A633:B633"/>
    <mergeCell ref="A634:B634"/>
    <mergeCell ref="A635:B635"/>
    <mergeCell ref="A636:B636"/>
    <mergeCell ref="A637:B637"/>
    <mergeCell ref="A638:B638"/>
    <mergeCell ref="C639:E639"/>
    <mergeCell ref="B642:D642"/>
    <mergeCell ref="D643:E643"/>
    <mergeCell ref="A494:B494"/>
    <mergeCell ref="A495:B495"/>
    <mergeCell ref="C505:E505"/>
    <mergeCell ref="B508:D508"/>
    <mergeCell ref="D509:E509"/>
    <mergeCell ref="D510:E510"/>
    <mergeCell ref="D511:E511"/>
    <mergeCell ref="D512:E512"/>
    <mergeCell ref="D644:E644"/>
    <mergeCell ref="A599:B599"/>
    <mergeCell ref="B600:D600"/>
    <mergeCell ref="A601:B601"/>
    <mergeCell ref="A602:B602"/>
    <mergeCell ref="A603:B603"/>
    <mergeCell ref="A604:B604"/>
    <mergeCell ref="A605:B605"/>
    <mergeCell ref="A606:B606"/>
    <mergeCell ref="A607:B607"/>
    <mergeCell ref="A626:B626"/>
    <mergeCell ref="A627:B627"/>
    <mergeCell ref="A628:B628"/>
    <mergeCell ref="A629:B629"/>
    <mergeCell ref="A630:B630"/>
    <mergeCell ref="B631:D631"/>
    <mergeCell ref="A399:B399"/>
    <mergeCell ref="A431:B431"/>
    <mergeCell ref="A463:B463"/>
    <mergeCell ref="A334:B334"/>
    <mergeCell ref="A366:B366"/>
    <mergeCell ref="A528:B528"/>
    <mergeCell ref="A557:B557"/>
    <mergeCell ref="A558:B558"/>
    <mergeCell ref="A496:B496"/>
    <mergeCell ref="B497:D497"/>
    <mergeCell ref="A498:B498"/>
    <mergeCell ref="A499:B499"/>
    <mergeCell ref="A500:B500"/>
    <mergeCell ref="A501:B501"/>
    <mergeCell ref="A502:B502"/>
    <mergeCell ref="A503:B503"/>
    <mergeCell ref="A504:B504"/>
    <mergeCell ref="A487:B487"/>
    <mergeCell ref="A488:B488"/>
    <mergeCell ref="A489:B489"/>
    <mergeCell ref="A490:B490"/>
    <mergeCell ref="A491:B491"/>
    <mergeCell ref="A492:B492"/>
    <mergeCell ref="A493:B493"/>
    <mergeCell ref="D94:E94"/>
    <mergeCell ref="D95:E95"/>
    <mergeCell ref="D381:E381"/>
    <mergeCell ref="D382:E382"/>
    <mergeCell ref="A245:B245"/>
    <mergeCell ref="C246:E246"/>
    <mergeCell ref="B249:D249"/>
    <mergeCell ref="D250:E250"/>
    <mergeCell ref="D251:E251"/>
    <mergeCell ref="D252:E252"/>
    <mergeCell ref="D253:E253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B238:D238"/>
    <mergeCell ref="A239:B239"/>
    <mergeCell ref="A240:B240"/>
  </mergeCells>
  <printOptions horizontalCentered="1" verticalCentered="1"/>
  <pageMargins left="0.31496062992125984" right="0.31496062992125984" top="0.15748031496062992" bottom="0.15748031496062992" header="0.31496062992125984" footer="0.31496062992125984"/>
  <pageSetup scale="42" orientation="portrait" r:id="rId1"/>
  <rowBreaks count="38" manualBreakCount="38">
    <brk id="32" max="7" man="1"/>
    <brk id="63" max="7" man="1"/>
    <brk id="95" max="16383" man="1"/>
    <brk id="96" max="7" man="1"/>
    <brk id="128" max="7" man="1"/>
    <brk id="159" max="7" man="1"/>
    <brk id="253" max="7" man="1"/>
    <brk id="285" max="7" man="1"/>
    <brk id="318" max="7" man="1"/>
    <brk id="319" max="7" man="1"/>
    <brk id="351" max="7" man="1"/>
    <brk id="383" max="7" man="1"/>
    <brk id="384" max="16383" man="1"/>
    <brk id="416" max="7" man="1"/>
    <brk id="448" max="7" man="1"/>
    <brk id="480" max="7" man="1"/>
    <brk id="481" max="7" man="1"/>
    <brk id="512" max="7" man="1"/>
    <brk id="513" max="7" man="1"/>
    <brk id="545" max="7" man="1"/>
    <brk id="584" max="7" man="1"/>
    <brk id="615" max="7" man="1"/>
    <brk id="646" max="7" man="1"/>
    <brk id="647" max="7" man="1"/>
    <brk id="678" max="7" man="1"/>
    <brk id="709" max="7" man="1"/>
    <brk id="740" max="7" man="1"/>
    <brk id="771" max="7" man="1"/>
    <brk id="802" max="7" man="1"/>
    <brk id="833" max="7" man="1"/>
    <brk id="834" max="7" man="1"/>
    <brk id="865" max="7" man="1"/>
    <brk id="896" max="7" man="1"/>
    <brk id="897" max="7" man="1"/>
    <brk id="928" max="7" man="1"/>
    <brk id="929" max="7" man="1"/>
    <brk id="960" max="7" man="1"/>
    <brk id="991" max="7" man="1"/>
  </rowBreaks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19"/>
  <sheetViews>
    <sheetView workbookViewId="0">
      <selection activeCell="H13" sqref="H13"/>
    </sheetView>
  </sheetViews>
  <sheetFormatPr baseColWidth="10" defaultRowHeight="15" x14ac:dyDescent="0.25"/>
  <cols>
    <col min="1" max="1" width="48.5703125" customWidth="1"/>
    <col min="2" max="2" width="11.5703125" bestFit="1" customWidth="1"/>
    <col min="3" max="3" width="8.140625" bestFit="1" customWidth="1"/>
    <col min="4" max="4" width="11.140625" bestFit="1" customWidth="1"/>
    <col min="5" max="5" width="12" bestFit="1" customWidth="1"/>
  </cols>
  <sheetData>
    <row r="1" spans="1:5" x14ac:dyDescent="0.25">
      <c r="A1" s="280" t="s">
        <v>9</v>
      </c>
      <c r="B1" s="282" t="s">
        <v>10</v>
      </c>
      <c r="C1" s="282" t="s">
        <v>11</v>
      </c>
      <c r="D1" s="284" t="s">
        <v>246</v>
      </c>
      <c r="E1" s="276" t="s">
        <v>129</v>
      </c>
    </row>
    <row r="2" spans="1:5" x14ac:dyDescent="0.25">
      <c r="A2" s="281"/>
      <c r="B2" s="283"/>
      <c r="C2" s="283"/>
      <c r="D2" s="285"/>
      <c r="E2" s="277"/>
    </row>
    <row r="3" spans="1:5" x14ac:dyDescent="0.25">
      <c r="A3" s="225" t="s">
        <v>257</v>
      </c>
      <c r="B3" s="220">
        <v>1</v>
      </c>
      <c r="C3" s="220" t="s">
        <v>259</v>
      </c>
      <c r="D3" s="221">
        <v>27</v>
      </c>
      <c r="E3" s="226">
        <f>B3*D3</f>
        <v>27</v>
      </c>
    </row>
    <row r="4" spans="1:5" x14ac:dyDescent="0.25">
      <c r="A4" s="227" t="s">
        <v>238</v>
      </c>
      <c r="B4" s="222">
        <f>+CU.!C71+CU.!C104+CU.!C137+CU.!C168+CU.!C199+CU.!C231+CU.!C261+CU.!C294+CU.!C327+CU.!C359+CU.!C392+CU.!C424+CU.!C456+CU.!C521+CU.!C811</f>
        <v>148.79161695342466</v>
      </c>
      <c r="C4" s="75" t="s">
        <v>259</v>
      </c>
      <c r="D4" s="223">
        <v>72</v>
      </c>
      <c r="E4" s="228">
        <f>D4*B4</f>
        <v>10712.996420646576</v>
      </c>
    </row>
    <row r="5" spans="1:5" x14ac:dyDescent="0.25">
      <c r="A5" s="227" t="s">
        <v>247</v>
      </c>
      <c r="B5" s="222">
        <f>+CU.!C72+CU.!C105+CU.!C138+CU.!C169+CU.!C200+CU.!C232+CU.!C262+CU.!C295+CU.!C328+CU.!C360+CU.!C393+CU.!C425+CU.!C457+CU.!C522</f>
        <v>11.926447757876717</v>
      </c>
      <c r="C5" s="75" t="s">
        <v>260</v>
      </c>
      <c r="D5" s="223">
        <v>90</v>
      </c>
      <c r="E5" s="228">
        <f t="shared" ref="E5:E18" si="0">D5*B5</f>
        <v>1073.3802982089046</v>
      </c>
    </row>
    <row r="6" spans="1:5" x14ac:dyDescent="0.25">
      <c r="A6" s="227" t="s">
        <v>248</v>
      </c>
      <c r="B6" s="222">
        <f>+CU.!C73+CU.!C106+CU.!C263+CU.!C296+CU.!C329+CU.!C361+CU.!C394+CU.!C426+CU.!C458+CU.!C523</f>
        <v>8.2276322445652195</v>
      </c>
      <c r="C6" s="75" t="s">
        <v>260</v>
      </c>
      <c r="D6" s="223">
        <v>180</v>
      </c>
      <c r="E6" s="228">
        <f t="shared" si="0"/>
        <v>1480.9738040217394</v>
      </c>
    </row>
    <row r="7" spans="1:5" x14ac:dyDescent="0.25">
      <c r="A7" s="227" t="s">
        <v>249</v>
      </c>
      <c r="B7" s="222">
        <f>+CU.!C136+CU.!C167+CU.!C230</f>
        <v>1793.2719999999999</v>
      </c>
      <c r="C7" s="75" t="s">
        <v>11</v>
      </c>
      <c r="D7" s="223">
        <v>3.65</v>
      </c>
      <c r="E7" s="228">
        <f t="shared" si="0"/>
        <v>6545.4427999999998</v>
      </c>
    </row>
    <row r="8" spans="1:5" x14ac:dyDescent="0.25">
      <c r="A8" s="227" t="s">
        <v>250</v>
      </c>
      <c r="B8" s="222">
        <f>CU.!C293</f>
        <v>108.30000000000001</v>
      </c>
      <c r="C8" s="75" t="s">
        <v>11</v>
      </c>
      <c r="D8" s="223">
        <v>3.65</v>
      </c>
      <c r="E8" s="228">
        <f t="shared" si="0"/>
        <v>395.29500000000002</v>
      </c>
    </row>
    <row r="9" spans="1:5" x14ac:dyDescent="0.25">
      <c r="A9" s="227" t="s">
        <v>251</v>
      </c>
      <c r="B9" s="222">
        <f>CU.!C198</f>
        <v>847.34000000000015</v>
      </c>
      <c r="C9" s="75" t="s">
        <v>11</v>
      </c>
      <c r="D9" s="223">
        <v>3.65</v>
      </c>
      <c r="E9" s="228">
        <f t="shared" si="0"/>
        <v>3092.7910000000006</v>
      </c>
    </row>
    <row r="10" spans="1:5" x14ac:dyDescent="0.25">
      <c r="A10" s="227" t="s">
        <v>252</v>
      </c>
      <c r="B10" s="222">
        <f>+CU.!C74+CU.!C107+CU.!C264+CU.!C297+CU.!C330+CU.!C362+CU.!C395+CU.!C427+CU.!C459+CU.!C524</f>
        <v>283.11083333333335</v>
      </c>
      <c r="C10" s="75" t="s">
        <v>261</v>
      </c>
      <c r="D10" s="223">
        <v>11.15</v>
      </c>
      <c r="E10" s="228">
        <f t="shared" si="0"/>
        <v>3156.6857916666668</v>
      </c>
    </row>
    <row r="11" spans="1:5" x14ac:dyDescent="0.25">
      <c r="A11" s="227" t="s">
        <v>253</v>
      </c>
      <c r="B11" s="222">
        <f>CU.!C75+CU.!C265+CU.!C298+CU.!C331+CU.!C363+CU.!C396+CU.!C428+CU.!C460+CU.!C525</f>
        <v>154.93894444444445</v>
      </c>
      <c r="C11" s="75" t="s">
        <v>261</v>
      </c>
      <c r="D11" s="223">
        <v>5.16</v>
      </c>
      <c r="E11" s="228">
        <f t="shared" si="0"/>
        <v>799.48495333333335</v>
      </c>
    </row>
    <row r="12" spans="1:5" x14ac:dyDescent="0.25">
      <c r="A12" s="227" t="s">
        <v>254</v>
      </c>
      <c r="B12" s="222">
        <f>+CU.!C42+CU.!C76+CU.!C266</f>
        <v>35.262799999999999</v>
      </c>
      <c r="C12" s="75" t="s">
        <v>262</v>
      </c>
      <c r="D12" s="223">
        <v>5.25</v>
      </c>
      <c r="E12" s="228">
        <f t="shared" si="0"/>
        <v>185.12969999999999</v>
      </c>
    </row>
    <row r="13" spans="1:5" x14ac:dyDescent="0.25">
      <c r="A13" s="227" t="s">
        <v>255</v>
      </c>
      <c r="B13" s="222">
        <f>+CU.!C77+CU.!C110+CU.!C267+CU.!C300+CU.!C333+CU.!C365+CU.!C398+CU.!C430+CU.!C462+CU.!C527</f>
        <v>94.298357621082616</v>
      </c>
      <c r="C13" s="75" t="s">
        <v>262</v>
      </c>
      <c r="D13" s="223">
        <v>4.5</v>
      </c>
      <c r="E13" s="228">
        <f t="shared" si="0"/>
        <v>424.34260929487175</v>
      </c>
    </row>
    <row r="14" spans="1:5" x14ac:dyDescent="0.25">
      <c r="A14" s="227" t="s">
        <v>256</v>
      </c>
      <c r="B14" s="222">
        <f>+CU.!C41+CU.!C78+CU.!C268</f>
        <v>1175.4266666666667</v>
      </c>
      <c r="C14" s="75" t="s">
        <v>263</v>
      </c>
      <c r="D14" s="223">
        <v>6</v>
      </c>
      <c r="E14" s="228">
        <f t="shared" si="0"/>
        <v>7052.56</v>
      </c>
    </row>
    <row r="15" spans="1:5" x14ac:dyDescent="0.25">
      <c r="A15" s="227" t="s">
        <v>237</v>
      </c>
      <c r="B15" s="222">
        <f>CU.!C810</f>
        <v>65.95</v>
      </c>
      <c r="C15" s="75" t="s">
        <v>107</v>
      </c>
      <c r="D15" s="223">
        <v>70</v>
      </c>
      <c r="E15" s="228">
        <f t="shared" si="0"/>
        <v>4616.5</v>
      </c>
    </row>
    <row r="16" spans="1:5" x14ac:dyDescent="0.25">
      <c r="A16" s="227" t="s">
        <v>258</v>
      </c>
      <c r="B16" s="75">
        <f>CU.!C842</f>
        <v>18</v>
      </c>
      <c r="C16" s="75" t="s">
        <v>107</v>
      </c>
      <c r="D16" s="223">
        <v>70</v>
      </c>
      <c r="E16" s="228">
        <f t="shared" si="0"/>
        <v>1260</v>
      </c>
    </row>
    <row r="17" spans="1:5" x14ac:dyDescent="0.25">
      <c r="A17" s="227" t="s">
        <v>264</v>
      </c>
      <c r="B17" s="75">
        <f>CU.!C489</f>
        <v>40</v>
      </c>
      <c r="C17" s="75" t="s">
        <v>11</v>
      </c>
      <c r="D17" s="223">
        <v>51</v>
      </c>
      <c r="E17" s="228">
        <f t="shared" si="0"/>
        <v>2040</v>
      </c>
    </row>
    <row r="18" spans="1:5" ht="15.75" thickBot="1" x14ac:dyDescent="0.3">
      <c r="A18" s="229" t="s">
        <v>265</v>
      </c>
      <c r="B18" s="230">
        <f>CU.!C491</f>
        <v>28</v>
      </c>
      <c r="C18" s="230" t="s">
        <v>11</v>
      </c>
      <c r="D18" s="231">
        <v>90</v>
      </c>
      <c r="E18" s="232">
        <f t="shared" si="0"/>
        <v>2520</v>
      </c>
    </row>
    <row r="19" spans="1:5" ht="15.75" thickBot="1" x14ac:dyDescent="0.3">
      <c r="B19" s="278" t="s">
        <v>129</v>
      </c>
      <c r="C19" s="279"/>
      <c r="D19" s="279"/>
      <c r="E19" s="224">
        <f>SUM(E3:E18)</f>
        <v>45382.58237717209</v>
      </c>
    </row>
  </sheetData>
  <mergeCells count="6">
    <mergeCell ref="E1:E2"/>
    <mergeCell ref="B19:D19"/>
    <mergeCell ref="A1:A2"/>
    <mergeCell ref="B1:B2"/>
    <mergeCell ref="C1:C2"/>
    <mergeCell ref="D1:D2"/>
  </mergeCells>
  <pageMargins left="0.70866141732283472" right="0.70866141732283472" top="0.74803149606299213" bottom="0.74803149606299213" header="0.31496062992125984" footer="0.31496062992125984"/>
  <pageSetup paperSize="9" scale="95"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K55"/>
  <sheetViews>
    <sheetView showZeros="0" topLeftCell="A37" zoomScale="85" zoomScaleNormal="85" workbookViewId="0">
      <selection activeCell="I51" sqref="I51"/>
    </sheetView>
  </sheetViews>
  <sheetFormatPr baseColWidth="10" defaultColWidth="11.42578125" defaultRowHeight="17.25" x14ac:dyDescent="0.3"/>
  <cols>
    <col min="1" max="1" width="3.85546875" style="175" customWidth="1"/>
    <col min="2" max="2" width="10" style="175" bestFit="1" customWidth="1"/>
    <col min="3" max="3" width="43.28515625" style="175" customWidth="1"/>
    <col min="4" max="4" width="10.7109375" style="175" bestFit="1" customWidth="1"/>
    <col min="5" max="5" width="10.5703125" style="196" customWidth="1"/>
    <col min="6" max="6" width="16.42578125" style="175" bestFit="1" customWidth="1"/>
    <col min="7" max="7" width="15.42578125" style="175" bestFit="1" customWidth="1"/>
    <col min="8" max="8" width="15.7109375" style="175" bestFit="1" customWidth="1"/>
    <col min="9" max="9" width="15" style="175" bestFit="1" customWidth="1"/>
    <col min="10" max="10" width="13.85546875" style="175" bestFit="1" customWidth="1"/>
    <col min="11" max="16384" width="11.42578125" style="175"/>
  </cols>
  <sheetData>
    <row r="1" spans="2:10" ht="18" thickBot="1" x14ac:dyDescent="0.35"/>
    <row r="2" spans="2:10" ht="18" thickBot="1" x14ac:dyDescent="0.35">
      <c r="B2" s="296" t="s">
        <v>267</v>
      </c>
      <c r="C2" s="297"/>
      <c r="D2" s="297"/>
      <c r="E2" s="297"/>
      <c r="F2" s="297"/>
      <c r="G2" s="297"/>
      <c r="H2" s="297"/>
      <c r="I2" s="297"/>
      <c r="J2" s="192">
        <v>42536</v>
      </c>
    </row>
    <row r="3" spans="2:10" s="197" customFormat="1" ht="14.25" thickTop="1" x14ac:dyDescent="0.25">
      <c r="B3" s="298" t="s">
        <v>130</v>
      </c>
      <c r="C3" s="288" t="s">
        <v>9</v>
      </c>
      <c r="D3" s="288" t="s">
        <v>10</v>
      </c>
      <c r="E3" s="288" t="s">
        <v>11</v>
      </c>
      <c r="F3" s="198" t="s">
        <v>211</v>
      </c>
      <c r="G3" s="288" t="s">
        <v>8</v>
      </c>
      <c r="H3" s="300" t="s">
        <v>129</v>
      </c>
      <c r="I3" s="199" t="s">
        <v>213</v>
      </c>
      <c r="J3" s="200" t="s">
        <v>215</v>
      </c>
    </row>
    <row r="4" spans="2:10" s="197" customFormat="1" ht="14.25" thickBot="1" x14ac:dyDescent="0.3">
      <c r="B4" s="299"/>
      <c r="C4" s="289"/>
      <c r="D4" s="289"/>
      <c r="E4" s="289"/>
      <c r="F4" s="201" t="s">
        <v>212</v>
      </c>
      <c r="G4" s="289"/>
      <c r="H4" s="301"/>
      <c r="I4" s="202" t="s">
        <v>214</v>
      </c>
      <c r="J4" s="203" t="s">
        <v>216</v>
      </c>
    </row>
    <row r="5" spans="2:10" ht="18.75" thickTop="1" thickBot="1" x14ac:dyDescent="0.35">
      <c r="B5" s="193">
        <f>+CU.!B3</f>
        <v>1</v>
      </c>
      <c r="C5" s="293" t="s">
        <v>128</v>
      </c>
      <c r="D5" s="294"/>
      <c r="E5" s="294"/>
      <c r="F5" s="294"/>
      <c r="G5" s="294"/>
      <c r="H5" s="295"/>
      <c r="I5" s="194">
        <f>SUM(H6:H7)</f>
        <v>2628.7200000000003</v>
      </c>
      <c r="J5" s="195"/>
    </row>
    <row r="6" spans="2:10" x14ac:dyDescent="0.3">
      <c r="B6" s="148">
        <f>+CU.!B5</f>
        <v>1.1000000000000001</v>
      </c>
      <c r="C6" s="149" t="str">
        <f>+CU.!B4</f>
        <v>LIMPIEZA, CHAPEO Y DESTRONQUE</v>
      </c>
      <c r="D6" s="150">
        <f>+CU.!D4</f>
        <v>96</v>
      </c>
      <c r="E6" s="204" t="str">
        <f>+CU.!D3</f>
        <v>M2</v>
      </c>
      <c r="F6" s="152">
        <f>+CU.!F28</f>
        <v>960</v>
      </c>
      <c r="G6" s="152">
        <f>+CU.!F17</f>
        <v>0</v>
      </c>
      <c r="H6" s="152">
        <f>+F6+G6</f>
        <v>960</v>
      </c>
      <c r="I6" s="151"/>
      <c r="J6" s="180">
        <f>+CU.!F32</f>
        <v>14</v>
      </c>
    </row>
    <row r="7" spans="2:10" ht="18" thickBot="1" x14ac:dyDescent="0.35">
      <c r="B7" s="153">
        <f>+CU.!B36</f>
        <v>1.2</v>
      </c>
      <c r="C7" s="154" t="str">
        <f>+CU.!B35</f>
        <v>TRAZO Y ESTAQUEADO</v>
      </c>
      <c r="D7" s="155">
        <f>+CU.!D35</f>
        <v>68.98</v>
      </c>
      <c r="E7" s="205" t="str">
        <f>+CU.!D34</f>
        <v>ML</v>
      </c>
      <c r="F7" s="157">
        <f>+CU.!F59</f>
        <v>793.27</v>
      </c>
      <c r="G7" s="157">
        <f>+CU.!F48</f>
        <v>875.45</v>
      </c>
      <c r="H7" s="157">
        <f>+F7+G7</f>
        <v>1668.72</v>
      </c>
      <c r="I7" s="156"/>
      <c r="J7" s="181">
        <f>+CU.!F63</f>
        <v>33.866</v>
      </c>
    </row>
    <row r="8" spans="2:10" ht="18" thickBot="1" x14ac:dyDescent="0.35">
      <c r="B8" s="146">
        <f>CU.!B65</f>
        <v>2</v>
      </c>
      <c r="C8" s="290" t="s">
        <v>133</v>
      </c>
      <c r="D8" s="291"/>
      <c r="E8" s="291"/>
      <c r="F8" s="291"/>
      <c r="G8" s="291"/>
      <c r="H8" s="292"/>
      <c r="I8" s="147">
        <f>SUM(H9:H10)</f>
        <v>9573.89</v>
      </c>
      <c r="J8" s="182"/>
    </row>
    <row r="9" spans="2:10" s="183" customFormat="1" ht="34.5" x14ac:dyDescent="0.3">
      <c r="B9" s="148">
        <f>+CU.!B67</f>
        <v>2.1</v>
      </c>
      <c r="C9" s="158" t="str">
        <f>+CU.!B66</f>
        <v>CIMIENTO CORRIDO RECTANGULAR CC-01 DE 0.20 X 0.40</v>
      </c>
      <c r="D9" s="159">
        <f>+CU.!D66</f>
        <v>68.98</v>
      </c>
      <c r="E9" s="204" t="str">
        <f>+CU.!D65</f>
        <v>ML</v>
      </c>
      <c r="F9" s="152">
        <f>+CU.!F91</f>
        <v>1334.7600000000002</v>
      </c>
      <c r="G9" s="152">
        <f>+CU.!F80</f>
        <v>6648</v>
      </c>
      <c r="H9" s="152">
        <f>+F9+G9</f>
        <v>7982.76</v>
      </c>
      <c r="I9" s="151"/>
      <c r="J9" s="180">
        <f>+CU.!F95</f>
        <v>162.02199999999999</v>
      </c>
    </row>
    <row r="10" spans="2:10" ht="18" thickBot="1" x14ac:dyDescent="0.35">
      <c r="B10" s="153">
        <f>+CU.!B100</f>
        <v>2.2000000000000002</v>
      </c>
      <c r="C10" s="165" t="str">
        <f>+CU.!B99</f>
        <v>ZAPATAS</v>
      </c>
      <c r="D10" s="155">
        <f>+CU.!D99</f>
        <v>13</v>
      </c>
      <c r="E10" s="205" t="str">
        <f>+CU.!D98</f>
        <v>UNIDAD</v>
      </c>
      <c r="F10" s="157">
        <f>+CU.!F124</f>
        <v>434.15</v>
      </c>
      <c r="G10" s="157">
        <f>+CU.!F113</f>
        <v>1156.9799999999998</v>
      </c>
      <c r="H10" s="157">
        <f>+F10+G10</f>
        <v>1591.1299999999997</v>
      </c>
      <c r="I10" s="156"/>
      <c r="J10" s="181">
        <f>+CU.!F128</f>
        <v>171.346</v>
      </c>
    </row>
    <row r="11" spans="2:10" ht="18" thickBot="1" x14ac:dyDescent="0.35">
      <c r="B11" s="146">
        <f>+CU.!B130</f>
        <v>3</v>
      </c>
      <c r="C11" s="290" t="s">
        <v>134</v>
      </c>
      <c r="D11" s="291"/>
      <c r="E11" s="291"/>
      <c r="F11" s="291"/>
      <c r="G11" s="291"/>
      <c r="H11" s="292"/>
      <c r="I11" s="147">
        <f>SUM(H12:H14)</f>
        <v>13207.599999999999</v>
      </c>
      <c r="J11" s="182"/>
    </row>
    <row r="12" spans="2:10" ht="34.5" x14ac:dyDescent="0.3">
      <c r="B12" s="148">
        <f>+CU.!B132</f>
        <v>3.1</v>
      </c>
      <c r="C12" s="158" t="str">
        <f>+CU.!B131</f>
        <v>LEVANTADO DE BLOCK HASTA SOLERA HIDROFUGA</v>
      </c>
      <c r="D12" s="159">
        <f>+CU.!D131</f>
        <v>55.184000000000005</v>
      </c>
      <c r="E12" s="204" t="str">
        <f>+CU.!D130</f>
        <v>M2</v>
      </c>
      <c r="F12" s="152">
        <f>+CU.!F155</f>
        <v>1545.15</v>
      </c>
      <c r="G12" s="152">
        <f>+CU.!F144</f>
        <v>2419.7199999999998</v>
      </c>
      <c r="H12" s="152">
        <f>+F12+G12</f>
        <v>3964.87</v>
      </c>
      <c r="I12" s="151"/>
      <c r="J12" s="180">
        <f>+CU.!F159</f>
        <v>100.58999999999999</v>
      </c>
    </row>
    <row r="13" spans="2:10" ht="34.5" x14ac:dyDescent="0.3">
      <c r="B13" s="160">
        <f>+CU.!B163</f>
        <v>3.2</v>
      </c>
      <c r="C13" s="161" t="str">
        <f>+CU.!B162</f>
        <v>LEVANTADO DE BLOCK 0.14 X 0.19 X 0.39 DE 50 KG. CISADO UNA CARA</v>
      </c>
      <c r="D13" s="162">
        <f>+CU.!D162</f>
        <v>53.35</v>
      </c>
      <c r="E13" s="206" t="str">
        <f>+CU.!D161</f>
        <v>M2</v>
      </c>
      <c r="F13" s="164">
        <f>+CU.!F186</f>
        <v>1867.25</v>
      </c>
      <c r="G13" s="164">
        <f>+CU.!F175</f>
        <v>2339.31</v>
      </c>
      <c r="H13" s="164">
        <f>+F13+G13</f>
        <v>4206.5599999999995</v>
      </c>
      <c r="I13" s="163"/>
      <c r="J13" s="184">
        <f>+CU.!F190</f>
        <v>110.38999999999999</v>
      </c>
    </row>
    <row r="14" spans="2:10" ht="35.25" thickBot="1" x14ac:dyDescent="0.35">
      <c r="B14" s="153">
        <f>+CU.!B194</f>
        <v>3.3</v>
      </c>
      <c r="C14" s="165" t="str">
        <f>+CU.!B193</f>
        <v xml:space="preserve">LEVANTADO DE BLOCK 0.09 X 0.19 X 0.39 </v>
      </c>
      <c r="D14" s="155">
        <f>+CU.!D193</f>
        <v>65.180000000000007</v>
      </c>
      <c r="E14" s="205" t="str">
        <f>+CU.!D192</f>
        <v>M2</v>
      </c>
      <c r="F14" s="157">
        <f>+CU.!F217</f>
        <v>2933.1</v>
      </c>
      <c r="G14" s="157">
        <f>+CU.!F206</f>
        <v>2103.0700000000002</v>
      </c>
      <c r="H14" s="157">
        <f>+F14+G14</f>
        <v>5036.17</v>
      </c>
      <c r="I14" s="156"/>
      <c r="J14" s="181">
        <f>+CU.!F221</f>
        <v>108.178</v>
      </c>
    </row>
    <row r="15" spans="2:10" ht="18" thickBot="1" x14ac:dyDescent="0.35">
      <c r="B15" s="146">
        <f>+CU.!B255</f>
        <v>4</v>
      </c>
      <c r="C15" s="290" t="s">
        <v>135</v>
      </c>
      <c r="D15" s="291"/>
      <c r="E15" s="291"/>
      <c r="F15" s="291"/>
      <c r="G15" s="291"/>
      <c r="H15" s="292"/>
      <c r="I15" s="147">
        <f>SUM(H16:H19)</f>
        <v>13144.149999999998</v>
      </c>
      <c r="J15" s="182"/>
    </row>
    <row r="16" spans="2:10" ht="34.5" x14ac:dyDescent="0.3">
      <c r="B16" s="148">
        <f>+CU.!B257</f>
        <v>4.0999999999999996</v>
      </c>
      <c r="C16" s="158" t="str">
        <f>+CU.!B256</f>
        <v>SOLERA HIDROFUGA Y MOJINETE DE 0.14 X 0.20</v>
      </c>
      <c r="D16" s="159">
        <f>+CU.!D256</f>
        <v>121.13</v>
      </c>
      <c r="E16" s="204" t="str">
        <f>+CU.!D255</f>
        <v>ML</v>
      </c>
      <c r="F16" s="152">
        <f>+CU.!F281</f>
        <v>1492.3200000000002</v>
      </c>
      <c r="G16" s="152">
        <f>+CU.!F270</f>
        <v>9754.39</v>
      </c>
      <c r="H16" s="152">
        <f>+F16+G16</f>
        <v>11246.71</v>
      </c>
      <c r="I16" s="151"/>
      <c r="J16" s="180">
        <f>+CU.!F285</f>
        <v>129.99</v>
      </c>
    </row>
    <row r="17" spans="2:10" x14ac:dyDescent="0.3">
      <c r="B17" s="160">
        <f>+CU.!B289</f>
        <v>4.2</v>
      </c>
      <c r="C17" s="161" t="str">
        <f>+CU.!B288</f>
        <v>SOLERA INTERMEDIA DE BLOCK U</v>
      </c>
      <c r="D17" s="162">
        <f>+CU.!D288</f>
        <v>36.1</v>
      </c>
      <c r="E17" s="206" t="str">
        <f>+CU.!D287</f>
        <v>ML</v>
      </c>
      <c r="F17" s="164">
        <f>+CU.!F314</f>
        <v>111.19</v>
      </c>
      <c r="G17" s="164">
        <f>+CU.!F303</f>
        <v>344.89000000000004</v>
      </c>
      <c r="H17" s="164">
        <f t="shared" ref="H17:H19" si="0">+F17+G17</f>
        <v>456.08000000000004</v>
      </c>
      <c r="I17" s="163"/>
      <c r="J17" s="184">
        <f>+CU.!F318</f>
        <v>17.682000000000002</v>
      </c>
    </row>
    <row r="18" spans="2:10" x14ac:dyDescent="0.3">
      <c r="B18" s="160">
        <f>+CU.!B323</f>
        <v>4.3</v>
      </c>
      <c r="C18" s="161" t="str">
        <f>+CU.!B322</f>
        <v>SILLAR DE 0.10 X 0.14</v>
      </c>
      <c r="D18" s="162">
        <f>+CU.!D322</f>
        <v>9.6</v>
      </c>
      <c r="E18" s="206" t="str">
        <f>+CU.!D321</f>
        <v>ML</v>
      </c>
      <c r="F18" s="164">
        <f>+CU.!F347</f>
        <v>478.27000000000004</v>
      </c>
      <c r="G18" s="164">
        <f>+CU.!F336</f>
        <v>249.8</v>
      </c>
      <c r="H18" s="164">
        <f t="shared" si="0"/>
        <v>728.07</v>
      </c>
      <c r="I18" s="163"/>
      <c r="J18" s="184">
        <f>+CU.!F351</f>
        <v>106.176</v>
      </c>
    </row>
    <row r="19" spans="2:10" ht="18" thickBot="1" x14ac:dyDescent="0.35">
      <c r="B19" s="160">
        <f>+CU.!B355</f>
        <v>4.4000000000000004</v>
      </c>
      <c r="C19" s="161" t="str">
        <f>+CU.!B354</f>
        <v>DINTEL DE 0.10 X 0.14</v>
      </c>
      <c r="D19" s="162">
        <f>+CU.!D354</f>
        <v>9.6</v>
      </c>
      <c r="E19" s="206" t="str">
        <f>+CU.!D353</f>
        <v>ML</v>
      </c>
      <c r="F19" s="164">
        <f>+CU.!F379</f>
        <v>463.49</v>
      </c>
      <c r="G19" s="164">
        <f>+CU.!F368</f>
        <v>249.8</v>
      </c>
      <c r="H19" s="164">
        <f t="shared" si="0"/>
        <v>713.29</v>
      </c>
      <c r="I19" s="163"/>
      <c r="J19" s="184">
        <f>+CU.!F383</f>
        <v>104.02</v>
      </c>
    </row>
    <row r="20" spans="2:10" ht="18" thickBot="1" x14ac:dyDescent="0.35">
      <c r="B20" s="146">
        <f>+CU.!B386</f>
        <v>5</v>
      </c>
      <c r="C20" s="290" t="s">
        <v>136</v>
      </c>
      <c r="D20" s="291"/>
      <c r="E20" s="291"/>
      <c r="F20" s="291"/>
      <c r="G20" s="291"/>
      <c r="H20" s="292"/>
      <c r="I20" s="147">
        <f>SUM(H21:H23)</f>
        <v>21484.02</v>
      </c>
      <c r="J20" s="182"/>
    </row>
    <row r="21" spans="2:10" x14ac:dyDescent="0.3">
      <c r="B21" s="148">
        <f>+CU.!B388</f>
        <v>5.0999999999999996</v>
      </c>
      <c r="C21" s="158" t="str">
        <f>+CU.!B387</f>
        <v>COLUMNAS TIPO C-1 DE 0.20 X 0.15</v>
      </c>
      <c r="D21" s="159">
        <f>+CU.!D387</f>
        <v>39</v>
      </c>
      <c r="E21" s="204" t="str">
        <f>+CU.!D386</f>
        <v>ML</v>
      </c>
      <c r="F21" s="152">
        <f>+CU.!F412</f>
        <v>3786.12</v>
      </c>
      <c r="G21" s="152">
        <f>+CU.!F401</f>
        <v>1565.7799999999997</v>
      </c>
      <c r="H21" s="152">
        <f>+F21+G21</f>
        <v>5351.9</v>
      </c>
      <c r="I21" s="151"/>
      <c r="J21" s="180">
        <f>+CU.!F416</f>
        <v>192.12199999999999</v>
      </c>
    </row>
    <row r="22" spans="2:10" x14ac:dyDescent="0.3">
      <c r="B22" s="160">
        <f>+CU.!B420</f>
        <v>5.2</v>
      </c>
      <c r="C22" s="161" t="str">
        <f>+CU.!B419</f>
        <v>COLUMNAS TIPO C-2 DE 0.15 X 0.15</v>
      </c>
      <c r="D22" s="162">
        <f>+CU.!D419</f>
        <v>36</v>
      </c>
      <c r="E22" s="206" t="str">
        <f>+CU.!D418</f>
        <v>ML</v>
      </c>
      <c r="F22" s="164">
        <f>+CU.!F444</f>
        <v>3306.36</v>
      </c>
      <c r="G22" s="164">
        <f>+CU.!F433</f>
        <v>8216.08</v>
      </c>
      <c r="H22" s="164">
        <f t="shared" ref="H22:H23" si="1">+F22+G22</f>
        <v>11522.44</v>
      </c>
      <c r="I22" s="163"/>
      <c r="J22" s="184">
        <f>+CU.!F448</f>
        <v>448.09799999999996</v>
      </c>
    </row>
    <row r="23" spans="2:10" ht="18" thickBot="1" x14ac:dyDescent="0.35">
      <c r="B23" s="160">
        <f>+CU.!B452</f>
        <v>5.3</v>
      </c>
      <c r="C23" s="161" t="str">
        <f>+CU.!B451</f>
        <v>COLUMNAS TIPO C-3 DE 0.10 X 0.15</v>
      </c>
      <c r="D23" s="162">
        <f>+CU.!D451</f>
        <v>40</v>
      </c>
      <c r="E23" s="206" t="str">
        <f>+CU.!D450</f>
        <v>ML</v>
      </c>
      <c r="F23" s="164">
        <f>+CU.!F476</f>
        <v>3626.9300000000003</v>
      </c>
      <c r="G23" s="164">
        <f>+CU.!F465</f>
        <v>982.75</v>
      </c>
      <c r="H23" s="164">
        <f t="shared" si="1"/>
        <v>4609.68</v>
      </c>
      <c r="I23" s="163"/>
      <c r="J23" s="184">
        <f>+CU.!F480</f>
        <v>161.33600000000001</v>
      </c>
    </row>
    <row r="24" spans="2:10" ht="18" thickBot="1" x14ac:dyDescent="0.35">
      <c r="B24" s="146">
        <f>+CU.!B483</f>
        <v>6</v>
      </c>
      <c r="C24" s="290" t="s">
        <v>137</v>
      </c>
      <c r="D24" s="291"/>
      <c r="E24" s="291"/>
      <c r="F24" s="291"/>
      <c r="G24" s="291"/>
      <c r="H24" s="292"/>
      <c r="I24" s="147">
        <f>SUM(H25:H25)</f>
        <v>8152</v>
      </c>
      <c r="J24" s="182"/>
    </row>
    <row r="25" spans="2:10" ht="18" thickBot="1" x14ac:dyDescent="0.35">
      <c r="B25" s="148">
        <f>+CU.!B485</f>
        <v>6.1</v>
      </c>
      <c r="C25" s="158" t="str">
        <f>+CU.!B484</f>
        <v>TECHO ESTRUCTURA METALICA</v>
      </c>
      <c r="D25" s="159">
        <f>+CU.!D484</f>
        <v>91.25</v>
      </c>
      <c r="E25" s="204" t="str">
        <f>+CU.!D483</f>
        <v>M2</v>
      </c>
      <c r="F25" s="152">
        <f>+CU.!F508</f>
        <v>3000</v>
      </c>
      <c r="G25" s="210">
        <f>+CU.!F497</f>
        <v>5152</v>
      </c>
      <c r="H25" s="152">
        <f>+F25+G25</f>
        <v>8152</v>
      </c>
      <c r="I25" s="151"/>
      <c r="J25" s="180">
        <f>+CU.!F512</f>
        <v>125.07600000000001</v>
      </c>
    </row>
    <row r="26" spans="2:10" ht="18" thickBot="1" x14ac:dyDescent="0.35">
      <c r="B26" s="146">
        <f>+CU.!B515</f>
        <v>7</v>
      </c>
      <c r="C26" s="290" t="s">
        <v>112</v>
      </c>
      <c r="D26" s="291"/>
      <c r="E26" s="291"/>
      <c r="F26" s="291"/>
      <c r="G26" s="291"/>
      <c r="H26" s="292"/>
      <c r="I26" s="147">
        <f>SUM(H27:H28)</f>
        <v>681</v>
      </c>
      <c r="J26" s="182"/>
    </row>
    <row r="27" spans="2:10" x14ac:dyDescent="0.3">
      <c r="B27" s="148">
        <f>+CU.!B517</f>
        <v>7.1</v>
      </c>
      <c r="C27" s="158" t="str">
        <f>+CU.!B516</f>
        <v>ACOMETIDA ELECTRICA</v>
      </c>
      <c r="D27" s="159">
        <f>+CU.!D516</f>
        <v>2.7</v>
      </c>
      <c r="E27" s="204" t="str">
        <f>+CU.!D515</f>
        <v>ML</v>
      </c>
      <c r="F27" s="152">
        <f>+CU.!F541</f>
        <v>253.36</v>
      </c>
      <c r="G27" s="152">
        <f>+CU.!F530</f>
        <v>177.64000000000001</v>
      </c>
      <c r="H27" s="152">
        <f>+F27+G27</f>
        <v>431</v>
      </c>
      <c r="I27" s="151"/>
      <c r="J27" s="180">
        <f>+CU.!F545</f>
        <v>223.482</v>
      </c>
    </row>
    <row r="28" spans="2:10" ht="18" thickBot="1" x14ac:dyDescent="0.35">
      <c r="B28" s="153">
        <f>+CU.!B549</f>
        <v>7.2</v>
      </c>
      <c r="C28" s="165" t="str">
        <f>+CU.!B548</f>
        <v>INSTALACION ELECTRICA</v>
      </c>
      <c r="D28" s="155">
        <f>+CU.!D548</f>
        <v>1</v>
      </c>
      <c r="E28" s="205" t="str">
        <f>+CU.!D547</f>
        <v>GLOBAL</v>
      </c>
      <c r="F28" s="157">
        <f>+CU.!F580</f>
        <v>250</v>
      </c>
      <c r="G28" s="157">
        <f>+CU.!F569</f>
        <v>0</v>
      </c>
      <c r="H28" s="157">
        <f>+F28+G28</f>
        <v>250</v>
      </c>
      <c r="I28" s="156"/>
      <c r="J28" s="181">
        <f>+CU.!F584</f>
        <v>350</v>
      </c>
    </row>
    <row r="29" spans="2:10" ht="18" thickBot="1" x14ac:dyDescent="0.35">
      <c r="B29" s="146">
        <f>+CU.!B586</f>
        <v>8</v>
      </c>
      <c r="C29" s="290" t="s">
        <v>114</v>
      </c>
      <c r="D29" s="291"/>
      <c r="E29" s="291"/>
      <c r="F29" s="291"/>
      <c r="G29" s="291"/>
      <c r="H29" s="292"/>
      <c r="I29" s="147">
        <f>+H30</f>
        <v>63.5</v>
      </c>
      <c r="J29" s="182"/>
    </row>
    <row r="30" spans="2:10" ht="18" thickBot="1" x14ac:dyDescent="0.35">
      <c r="B30" s="166">
        <f>+CU.!B588</f>
        <v>8.1</v>
      </c>
      <c r="C30" s="167" t="str">
        <f>+CU.!B587</f>
        <v>INSTALACION DE AGUA POTABLE</v>
      </c>
      <c r="D30" s="168">
        <f>+CU.!D587</f>
        <v>1</v>
      </c>
      <c r="E30" s="207" t="str">
        <f>+CU.!D586</f>
        <v>GLOBAL</v>
      </c>
      <c r="F30" s="170">
        <f>+CU.!F611</f>
        <v>63.5</v>
      </c>
      <c r="G30" s="170">
        <f>+CU.!F600</f>
        <v>0</v>
      </c>
      <c r="H30" s="170">
        <f>+F30+G30</f>
        <v>63.5</v>
      </c>
      <c r="I30" s="169"/>
      <c r="J30" s="185">
        <f>+CU.!F615</f>
        <v>88.9</v>
      </c>
    </row>
    <row r="31" spans="2:10" ht="18" thickBot="1" x14ac:dyDescent="0.35">
      <c r="B31" s="146">
        <f>+CU.!B617</f>
        <v>9</v>
      </c>
      <c r="C31" s="290" t="s">
        <v>115</v>
      </c>
      <c r="D31" s="291"/>
      <c r="E31" s="291"/>
      <c r="F31" s="291"/>
      <c r="G31" s="291"/>
      <c r="H31" s="292"/>
      <c r="I31" s="147">
        <f>SUM(H32:H32)</f>
        <v>63.5</v>
      </c>
      <c r="J31" s="182"/>
    </row>
    <row r="32" spans="2:10" ht="35.25" thickBot="1" x14ac:dyDescent="0.35">
      <c r="B32" s="148">
        <f>+CU.!B619</f>
        <v>9.1</v>
      </c>
      <c r="C32" s="158" t="str">
        <f>+CU.!B618</f>
        <v>INSTALACION DE DRENAJE SANITARIO</v>
      </c>
      <c r="D32" s="159">
        <f>+CU.!D618</f>
        <v>1</v>
      </c>
      <c r="E32" s="204" t="str">
        <f>+CU.!D617</f>
        <v>GLOBAL</v>
      </c>
      <c r="F32" s="152">
        <f>+CU.!F642</f>
        <v>63.5</v>
      </c>
      <c r="G32" s="152">
        <f>+CU.!F631</f>
        <v>0</v>
      </c>
      <c r="H32" s="152">
        <f>+F32+G32</f>
        <v>63.5</v>
      </c>
      <c r="I32" s="151"/>
      <c r="J32" s="180">
        <f>+CU.!F646</f>
        <v>88.9</v>
      </c>
    </row>
    <row r="33" spans="2:10" ht="18" thickBot="1" x14ac:dyDescent="0.35">
      <c r="B33" s="146">
        <f>+CU.!B649</f>
        <v>10</v>
      </c>
      <c r="C33" s="290" t="s">
        <v>138</v>
      </c>
      <c r="D33" s="291"/>
      <c r="E33" s="291"/>
      <c r="F33" s="291"/>
      <c r="G33" s="291"/>
      <c r="H33" s="292"/>
      <c r="I33" s="147">
        <f>SUM(H34:H38)</f>
        <v>817.63999999999987</v>
      </c>
      <c r="J33" s="182"/>
    </row>
    <row r="34" spans="2:10" x14ac:dyDescent="0.3">
      <c r="B34" s="148">
        <f>+CU.!B651</f>
        <v>10.1</v>
      </c>
      <c r="C34" s="158" t="str">
        <f>+CU.!B650</f>
        <v>PILA DE UN LAVADERO</v>
      </c>
      <c r="D34" s="159">
        <f>+CU.!D650</f>
        <v>1</v>
      </c>
      <c r="E34" s="204" t="str">
        <f>+CU.!D649</f>
        <v>UNIDAD</v>
      </c>
      <c r="F34" s="152">
        <f>+CU.!F674</f>
        <v>200</v>
      </c>
      <c r="G34" s="152">
        <f>+CU.!F663</f>
        <v>0</v>
      </c>
      <c r="H34" s="152">
        <f>+F34+G34</f>
        <v>200</v>
      </c>
      <c r="I34" s="151"/>
      <c r="J34" s="180">
        <f>+CU.!F678</f>
        <v>280</v>
      </c>
    </row>
    <row r="35" spans="2:10" x14ac:dyDescent="0.3">
      <c r="B35" s="160">
        <f>+CU.!B682</f>
        <v>10.199999999999999</v>
      </c>
      <c r="C35" s="161" t="str">
        <f>+CU.!B681</f>
        <v>LAVAPLATOS DE 1 FOSA</v>
      </c>
      <c r="D35" s="162">
        <f>+CU.!D681</f>
        <v>1</v>
      </c>
      <c r="E35" s="206" t="str">
        <f>+CU.!D680</f>
        <v>UNIDAD</v>
      </c>
      <c r="F35" s="164">
        <f>+CU.!F705</f>
        <v>250</v>
      </c>
      <c r="G35" s="164">
        <f>+CU.!F694</f>
        <v>0</v>
      </c>
      <c r="H35" s="164">
        <f t="shared" ref="H35:H38" si="2">+F35+G35</f>
        <v>250</v>
      </c>
      <c r="I35" s="163"/>
      <c r="J35" s="184">
        <f>+CU.!F709</f>
        <v>350</v>
      </c>
    </row>
    <row r="36" spans="2:10" x14ac:dyDescent="0.3">
      <c r="B36" s="160">
        <f>+CU.!B713</f>
        <v>10.3</v>
      </c>
      <c r="C36" s="161" t="str">
        <f>+CU.!B712</f>
        <v>INODORO</v>
      </c>
      <c r="D36" s="162">
        <f>+CU.!D712</f>
        <v>1</v>
      </c>
      <c r="E36" s="206" t="str">
        <f>+CU.!D711</f>
        <v>UNIDAD</v>
      </c>
      <c r="F36" s="164">
        <f>+CU.!F736</f>
        <v>200</v>
      </c>
      <c r="G36" s="164">
        <f>+CU.!F725</f>
        <v>0</v>
      </c>
      <c r="H36" s="164">
        <f t="shared" si="2"/>
        <v>200</v>
      </c>
      <c r="I36" s="163"/>
      <c r="J36" s="184">
        <f>+CU.!F740</f>
        <v>280</v>
      </c>
    </row>
    <row r="37" spans="2:10" x14ac:dyDescent="0.3">
      <c r="B37" s="160">
        <f>+CU.!B744</f>
        <v>10.4</v>
      </c>
      <c r="C37" s="161" t="str">
        <f>+CU.!B743</f>
        <v>LAVAMANOS</v>
      </c>
      <c r="D37" s="162">
        <f>+CU.!D743</f>
        <v>1</v>
      </c>
      <c r="E37" s="206" t="str">
        <f>+CU.!D742</f>
        <v>UNIDAD</v>
      </c>
      <c r="F37" s="164">
        <f>+CU.!F767</f>
        <v>83.82</v>
      </c>
      <c r="G37" s="164">
        <f>+CU.!F756</f>
        <v>0</v>
      </c>
      <c r="H37" s="164">
        <f t="shared" si="2"/>
        <v>83.82</v>
      </c>
      <c r="I37" s="163"/>
      <c r="J37" s="184">
        <f>+CU.!F771</f>
        <v>117.34799999999998</v>
      </c>
    </row>
    <row r="38" spans="2:10" ht="18" thickBot="1" x14ac:dyDescent="0.35">
      <c r="B38" s="153">
        <f>+CU.!B775</f>
        <v>10.5</v>
      </c>
      <c r="C38" s="165" t="str">
        <f>+CU.!B774</f>
        <v>DUCHA</v>
      </c>
      <c r="D38" s="155">
        <f>+CU.!D774</f>
        <v>1</v>
      </c>
      <c r="E38" s="205" t="str">
        <f>+CU.!D773</f>
        <v>UNIDAD</v>
      </c>
      <c r="F38" s="157">
        <f>+CU.!F798</f>
        <v>83.82</v>
      </c>
      <c r="G38" s="157">
        <f>+CU.!F787</f>
        <v>0</v>
      </c>
      <c r="H38" s="157">
        <f t="shared" si="2"/>
        <v>83.82</v>
      </c>
      <c r="I38" s="156"/>
      <c r="J38" s="181">
        <f>+CU.!F802</f>
        <v>117.34799999999998</v>
      </c>
    </row>
    <row r="39" spans="2:10" ht="18" thickBot="1" x14ac:dyDescent="0.35">
      <c r="B39" s="146">
        <v>11</v>
      </c>
      <c r="C39" s="290" t="s">
        <v>139</v>
      </c>
      <c r="D39" s="291"/>
      <c r="E39" s="291"/>
      <c r="F39" s="291"/>
      <c r="G39" s="291"/>
      <c r="H39" s="292"/>
      <c r="I39" s="147">
        <f>SUM(H40:H43)</f>
        <v>15506.58</v>
      </c>
      <c r="J39" s="182"/>
    </row>
    <row r="40" spans="2:10" x14ac:dyDescent="0.3">
      <c r="B40" s="148">
        <f>+CU.!B806</f>
        <v>11.1</v>
      </c>
      <c r="C40" s="158" t="str">
        <f>+CU.!B805</f>
        <v>PISO DE GRNITO</v>
      </c>
      <c r="D40" s="159">
        <f>+CU.!D805</f>
        <v>65.95</v>
      </c>
      <c r="E40" s="204" t="str">
        <f>+CU.!D804</f>
        <v>M2</v>
      </c>
      <c r="F40" s="152">
        <f>+CU.!F829</f>
        <v>1319</v>
      </c>
      <c r="G40" s="152">
        <f>+CU.!F818</f>
        <v>6126</v>
      </c>
      <c r="H40" s="152">
        <f>+F40+G40</f>
        <v>7445</v>
      </c>
      <c r="I40" s="151"/>
      <c r="J40" s="180">
        <f>+CU.!F833</f>
        <v>158.04599999999999</v>
      </c>
    </row>
    <row r="41" spans="2:10" x14ac:dyDescent="0.3">
      <c r="B41" s="160">
        <f>+CU.!B838</f>
        <v>11.4</v>
      </c>
      <c r="C41" s="161" t="str">
        <f>+CU.!B837</f>
        <v>AZULEJO DE 0.20 X 0.30</v>
      </c>
      <c r="D41" s="162">
        <f>+CU.!D837</f>
        <v>18</v>
      </c>
      <c r="E41" s="206" t="str">
        <f>+CU.!D836</f>
        <v>M2</v>
      </c>
      <c r="F41" s="164">
        <f>+CU.!F861</f>
        <v>360</v>
      </c>
      <c r="G41" s="164">
        <f>+CU.!F850</f>
        <v>1800</v>
      </c>
      <c r="H41" s="164">
        <f t="shared" ref="H41:H43" si="3">+F41+G41</f>
        <v>2160</v>
      </c>
      <c r="I41" s="163"/>
      <c r="J41" s="184">
        <f>+CU.!F865</f>
        <v>168</v>
      </c>
    </row>
    <row r="42" spans="2:10" x14ac:dyDescent="0.3">
      <c r="B42" s="160">
        <f>+CU.!B869</f>
        <v>11.5</v>
      </c>
      <c r="C42" s="161" t="str">
        <f>+CU.!B868</f>
        <v>REPELLO + CERNIDO VERTICAL</v>
      </c>
      <c r="D42" s="162">
        <f>+CU.!D868</f>
        <v>257.36</v>
      </c>
      <c r="E42" s="206" t="str">
        <f>+CU.!D867</f>
        <v>M2</v>
      </c>
      <c r="F42" s="164">
        <f>+CU.!F892</f>
        <v>5147.2</v>
      </c>
      <c r="G42" s="164">
        <f>+CU.!F881</f>
        <v>0</v>
      </c>
      <c r="H42" s="164">
        <f t="shared" si="3"/>
        <v>5147.2</v>
      </c>
      <c r="I42" s="163"/>
      <c r="J42" s="184">
        <f>+CU.!F896</f>
        <v>28</v>
      </c>
    </row>
    <row r="43" spans="2:10" ht="18" thickBot="1" x14ac:dyDescent="0.35">
      <c r="B43" s="153">
        <f>+CU.!B901</f>
        <v>11.9</v>
      </c>
      <c r="C43" s="165" t="str">
        <f>+CU.!B900</f>
        <v>BLANQUEADO EN SALIENTES</v>
      </c>
      <c r="D43" s="155">
        <f>+CU.!D900</f>
        <v>9</v>
      </c>
      <c r="E43" s="205" t="str">
        <f>+CU.!D899</f>
        <v>ML</v>
      </c>
      <c r="F43" s="157">
        <f>+CU.!F924</f>
        <v>754.38</v>
      </c>
      <c r="G43" s="157">
        <f>+CU.!F913</f>
        <v>0</v>
      </c>
      <c r="H43" s="157">
        <f t="shared" si="3"/>
        <v>754.38</v>
      </c>
      <c r="I43" s="156"/>
      <c r="J43" s="181">
        <f>+CU.!F928</f>
        <v>117.34799999999998</v>
      </c>
    </row>
    <row r="44" spans="2:10" ht="18" thickBot="1" x14ac:dyDescent="0.35">
      <c r="B44" s="146">
        <v>12</v>
      </c>
      <c r="C44" s="290" t="s">
        <v>140</v>
      </c>
      <c r="D44" s="291"/>
      <c r="E44" s="291"/>
      <c r="F44" s="291"/>
      <c r="G44" s="291"/>
      <c r="H44" s="292"/>
      <c r="I44" s="147">
        <f>+H45</f>
        <v>335.28</v>
      </c>
      <c r="J44" s="182"/>
    </row>
    <row r="45" spans="2:10" ht="18" thickBot="1" x14ac:dyDescent="0.35">
      <c r="B45" s="166">
        <v>12.1</v>
      </c>
      <c r="C45" s="167" t="str">
        <f>+CU.!B932</f>
        <v>CARRILERAS DE GARAGE</v>
      </c>
      <c r="D45" s="168">
        <f>+CU.!D932</f>
        <v>4</v>
      </c>
      <c r="E45" s="207" t="str">
        <f>+CU.!D931</f>
        <v>M2</v>
      </c>
      <c r="F45" s="170">
        <f>+CU.!F956</f>
        <v>335.28</v>
      </c>
      <c r="G45" s="170">
        <f>+CU.!F945</f>
        <v>0</v>
      </c>
      <c r="H45" s="170">
        <f>+F45+G45</f>
        <v>335.28</v>
      </c>
      <c r="I45" s="169"/>
      <c r="J45" s="185">
        <f>+CU.!F960</f>
        <v>117.34799999999998</v>
      </c>
    </row>
    <row r="46" spans="2:10" ht="18" thickBot="1" x14ac:dyDescent="0.35">
      <c r="B46" s="146">
        <v>13</v>
      </c>
      <c r="C46" s="290" t="s">
        <v>141</v>
      </c>
      <c r="D46" s="291"/>
      <c r="E46" s="291"/>
      <c r="F46" s="291"/>
      <c r="G46" s="291"/>
      <c r="H46" s="292"/>
      <c r="I46" s="147">
        <f>SUM(H47:H47)</f>
        <v>250</v>
      </c>
      <c r="J46" s="182"/>
    </row>
    <row r="47" spans="2:10" ht="18" thickBot="1" x14ac:dyDescent="0.35">
      <c r="B47" s="148">
        <v>13.1</v>
      </c>
      <c r="C47" s="158" t="str">
        <f>+CU.!B963</f>
        <v>PUERTAS TIPO 1</v>
      </c>
      <c r="D47" s="159">
        <v>4</v>
      </c>
      <c r="E47" s="204" t="str">
        <f>+CU.!D962</f>
        <v>UNIDAD</v>
      </c>
      <c r="F47" s="152">
        <f>+CU.!F987</f>
        <v>250</v>
      </c>
      <c r="G47" s="152">
        <f>+CU.!F976</f>
        <v>0</v>
      </c>
      <c r="H47" s="152">
        <f>+F47+G47</f>
        <v>250</v>
      </c>
      <c r="I47" s="151"/>
      <c r="J47" s="180">
        <f>+CU.!F991</f>
        <v>350</v>
      </c>
    </row>
    <row r="48" spans="2:10" ht="18" thickBot="1" x14ac:dyDescent="0.35">
      <c r="B48" s="146">
        <v>14</v>
      </c>
      <c r="C48" s="290" t="s">
        <v>142</v>
      </c>
      <c r="D48" s="291"/>
      <c r="E48" s="291"/>
      <c r="F48" s="291"/>
      <c r="G48" s="291"/>
      <c r="H48" s="292"/>
      <c r="I48" s="147">
        <f>+H49</f>
        <v>336.55</v>
      </c>
      <c r="J48" s="182"/>
    </row>
    <row r="49" spans="2:11" ht="34.5" x14ac:dyDescent="0.3">
      <c r="B49" s="148">
        <v>14.1</v>
      </c>
      <c r="C49" s="158" t="str">
        <f>+CU.!B994</f>
        <v>VENTANERIA DE ALUMINIO MIL FINISH</v>
      </c>
      <c r="D49" s="159">
        <f>+CU.!D994</f>
        <v>5.3</v>
      </c>
      <c r="E49" s="204" t="str">
        <f>+CU.!D993</f>
        <v>M2</v>
      </c>
      <c r="F49" s="152">
        <f>+CU.!F1018</f>
        <v>336.55</v>
      </c>
      <c r="G49" s="152">
        <f>+CU.!F1007</f>
        <v>0</v>
      </c>
      <c r="H49" s="152">
        <f>+F49+G49</f>
        <v>336.55</v>
      </c>
      <c r="I49" s="151"/>
      <c r="J49" s="180">
        <f>+CU.!F1022</f>
        <v>88.9</v>
      </c>
    </row>
    <row r="50" spans="2:11" ht="18" thickBot="1" x14ac:dyDescent="0.35">
      <c r="B50" s="171"/>
      <c r="C50" s="172"/>
      <c r="D50" s="173"/>
      <c r="E50" s="174"/>
      <c r="F50" s="186" t="s">
        <v>143</v>
      </c>
      <c r="G50" s="174" t="s">
        <v>8</v>
      </c>
      <c r="H50" s="186"/>
      <c r="I50" s="174" t="s">
        <v>129</v>
      </c>
      <c r="J50" s="187"/>
      <c r="K50" s="188"/>
    </row>
    <row r="51" spans="2:11" ht="18" thickBot="1" x14ac:dyDescent="0.35">
      <c r="F51" s="176">
        <f>SUM(F6:F49)</f>
        <v>36082.769999999997</v>
      </c>
      <c r="G51" s="177">
        <f>SUM(G6:G49)</f>
        <v>50161.659999999996</v>
      </c>
      <c r="H51" s="178"/>
      <c r="I51" s="179">
        <f>SUM(I5:I49)</f>
        <v>86244.430000000008</v>
      </c>
      <c r="J51" s="188"/>
    </row>
    <row r="52" spans="2:11" ht="18" thickBot="1" x14ac:dyDescent="0.35"/>
    <row r="53" spans="2:11" x14ac:dyDescent="0.3">
      <c r="F53" s="286" t="s">
        <v>144</v>
      </c>
      <c r="G53" s="287"/>
      <c r="H53" s="189">
        <f>+I51</f>
        <v>86244.430000000008</v>
      </c>
    </row>
    <row r="54" spans="2:11" x14ac:dyDescent="0.3">
      <c r="F54" s="286" t="s">
        <v>145</v>
      </c>
      <c r="G54" s="287"/>
      <c r="H54" s="190">
        <f>+CU.!G1026</f>
        <v>68.98</v>
      </c>
    </row>
    <row r="55" spans="2:11" ht="18" thickBot="1" x14ac:dyDescent="0.35">
      <c r="F55" s="286" t="s">
        <v>146</v>
      </c>
      <c r="G55" s="287"/>
      <c r="H55" s="191">
        <f>+H53/H54</f>
        <v>1250.2816758480719</v>
      </c>
    </row>
  </sheetData>
  <mergeCells count="24">
    <mergeCell ref="C5:H5"/>
    <mergeCell ref="B2:I2"/>
    <mergeCell ref="C11:H11"/>
    <mergeCell ref="C15:H15"/>
    <mergeCell ref="B3:B4"/>
    <mergeCell ref="C3:C4"/>
    <mergeCell ref="D3:D4"/>
    <mergeCell ref="H3:H4"/>
    <mergeCell ref="F53:G53"/>
    <mergeCell ref="F54:G54"/>
    <mergeCell ref="F55:G55"/>
    <mergeCell ref="E3:E4"/>
    <mergeCell ref="G3:G4"/>
    <mergeCell ref="C48:H48"/>
    <mergeCell ref="C33:H33"/>
    <mergeCell ref="C39:H39"/>
    <mergeCell ref="C44:H44"/>
    <mergeCell ref="C46:H46"/>
    <mergeCell ref="C20:H20"/>
    <mergeCell ref="C24:H24"/>
    <mergeCell ref="C26:H26"/>
    <mergeCell ref="C29:H29"/>
    <mergeCell ref="C31:H31"/>
    <mergeCell ref="C8:H8"/>
  </mergeCells>
  <printOptions horizontalCentered="1"/>
  <pageMargins left="0.39370078740157483" right="0.39370078740157483" top="0.39370078740157483" bottom="0.39370078740157483" header="0.31496062992125984" footer="0.31496062992125984"/>
  <pageSetup scale="65"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57</vt:i4>
      </vt:variant>
    </vt:vector>
  </HeadingPairs>
  <TitlesOfParts>
    <vt:vector size="61" baseType="lpstr">
      <vt:lpstr>MATERIALES </vt:lpstr>
      <vt:lpstr>CU.</vt:lpstr>
      <vt:lpstr>MATERIALES</vt:lpstr>
      <vt:lpstr>PRE</vt:lpstr>
      <vt:lpstr>ALAMBRE</vt:lpstr>
      <vt:lpstr>AMARILLA</vt:lpstr>
      <vt:lpstr>CU.!Área_de_impresión</vt:lpstr>
      <vt:lpstr>PRE!Área_de_impresión</vt:lpstr>
      <vt:lpstr>AYUDANTE</vt:lpstr>
      <vt:lpstr>BLANCA</vt:lpstr>
      <vt:lpstr>bloc1450</vt:lpstr>
      <vt:lpstr>BLOCK1425</vt:lpstr>
      <vt:lpstr>BLOCK1435</vt:lpstr>
      <vt:lpstr>BLOCK1925</vt:lpstr>
      <vt:lpstr>BLOCK1935</vt:lpstr>
      <vt:lpstr>block1950</vt:lpstr>
      <vt:lpstr>BLOCK925</vt:lpstr>
      <vt:lpstr>BLOCK935</vt:lpstr>
      <vt:lpstr>BLOCKU1425</vt:lpstr>
      <vt:lpstr>BLOCKU1435</vt:lpstr>
      <vt:lpstr>BLOCKU1925</vt:lpstr>
      <vt:lpstr>BLOCKU1935</vt:lpstr>
      <vt:lpstr>blocU1450</vt:lpstr>
      <vt:lpstr>blocU1950</vt:lpstr>
      <vt:lpstr>CAL</vt:lpstr>
      <vt:lpstr>CEMENTO</vt:lpstr>
      <vt:lpstr>CLAVO</vt:lpstr>
      <vt:lpstr>flete1450</vt:lpstr>
      <vt:lpstr>flete1925</vt:lpstr>
      <vt:lpstr>flete1950</vt:lpstr>
      <vt:lpstr>FLETE2C</vt:lpstr>
      <vt:lpstr>FLETE2P</vt:lpstr>
      <vt:lpstr>FLETE3C</vt:lpstr>
      <vt:lpstr>FLETE3P</vt:lpstr>
      <vt:lpstr>FLETE4C</vt:lpstr>
      <vt:lpstr>FLETE4P</vt:lpstr>
      <vt:lpstr>FLETE5C</vt:lpstr>
      <vt:lpstr>FLETE5P</vt:lpstr>
      <vt:lpstr>FLETE6C</vt:lpstr>
      <vt:lpstr>FLETE7C</vt:lpstr>
      <vt:lpstr>FLETE8C</vt:lpstr>
      <vt:lpstr>fleteU1450</vt:lpstr>
      <vt:lpstr>fleteU1950</vt:lpstr>
      <vt:lpstr>HIERRO1040</vt:lpstr>
      <vt:lpstr>HIERRO1140</vt:lpstr>
      <vt:lpstr>HIERRO240</vt:lpstr>
      <vt:lpstr>HIERRO340</vt:lpstr>
      <vt:lpstr>HIERRO440</vt:lpstr>
      <vt:lpstr>HIERRO540</vt:lpstr>
      <vt:lpstr>HIERRO640</vt:lpstr>
      <vt:lpstr>HIERRO6400</vt:lpstr>
      <vt:lpstr>HIERRO660</vt:lpstr>
      <vt:lpstr>HIERRO740</vt:lpstr>
      <vt:lpstr>HIERRO840</vt:lpstr>
      <vt:lpstr>HIERRO940</vt:lpstr>
      <vt:lpstr>INDIRECTOS</vt:lpstr>
      <vt:lpstr>MADERA</vt:lpstr>
      <vt:lpstr>PIEDRIN</vt:lpstr>
      <vt:lpstr>PRESTACIONES</vt:lpstr>
      <vt:lpstr>RIO</vt:lpstr>
      <vt:lpstr>SELECTO</vt:lpstr>
    </vt:vector>
  </TitlesOfParts>
  <Company>RevolucionUnattended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 Hector</dc:creator>
  <cp:lastModifiedBy>WiChO Salazar</cp:lastModifiedBy>
  <cp:lastPrinted>2016-03-13T19:34:26Z</cp:lastPrinted>
  <dcterms:created xsi:type="dcterms:W3CDTF">2012-06-21T14:26:09Z</dcterms:created>
  <dcterms:modified xsi:type="dcterms:W3CDTF">2016-07-10T20:06:41Z</dcterms:modified>
</cp:coreProperties>
</file>